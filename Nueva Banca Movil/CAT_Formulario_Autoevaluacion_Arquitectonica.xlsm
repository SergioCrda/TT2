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65" yWindow="105" windowWidth="11070" windowHeight="7860" activeTab="2"/>
  </bookViews>
  <sheets>
    <sheet name="Mapa Impacto Aplicativo" sheetId="2" r:id="rId1"/>
    <sheet name="Hoja2" sheetId="3" state="veryHidden" r:id="rId2"/>
    <sheet name="Formulario Autoevaluación Arq." sheetId="4" r:id="rId3"/>
    <sheet name="Control Version Template" sheetId="5" state="veryHidden" r:id="rId4"/>
  </sheets>
  <calcPr calcId="144525"/>
</workbook>
</file>

<file path=xl/calcChain.xml><?xml version="1.0" encoding="utf-8"?>
<calcChain xmlns="http://schemas.openxmlformats.org/spreadsheetml/2006/main">
  <c r="A77" i="4" l="1"/>
  <c r="A78" i="4"/>
  <c r="A79" i="4" s="1"/>
  <c r="J73" i="4"/>
  <c r="J88" i="4"/>
  <c r="A12" i="4"/>
  <c r="A11" i="4"/>
  <c r="W3" i="3"/>
  <c r="W6" i="3"/>
  <c r="W11" i="3"/>
  <c r="W17" i="3"/>
  <c r="W20" i="3"/>
  <c r="U3" i="3"/>
  <c r="U9" i="3"/>
  <c r="I3" i="3"/>
  <c r="I17" i="3"/>
  <c r="I24" i="3"/>
  <c r="I22" i="3"/>
  <c r="I20" i="3"/>
  <c r="I15" i="3"/>
  <c r="I10" i="3"/>
  <c r="O6" i="3"/>
  <c r="I6" i="3"/>
  <c r="O3" i="3"/>
  <c r="G3" i="3"/>
  <c r="G10" i="3"/>
  <c r="G13" i="3"/>
  <c r="M73" i="4" s="1"/>
  <c r="E3" i="3"/>
  <c r="E9" i="3"/>
  <c r="E12" i="3"/>
  <c r="E14" i="3"/>
  <c r="J19" i="4" s="1"/>
  <c r="E21" i="3"/>
  <c r="C2" i="3"/>
  <c r="U2" i="3" l="1"/>
  <c r="J38" i="4" s="1"/>
  <c r="J40" i="4"/>
  <c r="W2" i="3"/>
  <c r="J56" i="4" s="1"/>
  <c r="I2" i="3"/>
  <c r="J22" i="4" s="1"/>
  <c r="G2" i="3"/>
  <c r="J24" i="4" s="1"/>
  <c r="J16" i="4"/>
  <c r="E2" i="3"/>
  <c r="J13" i="4" s="1"/>
  <c r="A49" i="4"/>
  <c r="A73" i="4" l="1"/>
  <c r="A52" i="4"/>
  <c r="A51" i="4"/>
  <c r="A50" i="4"/>
  <c r="A46" i="4"/>
  <c r="A47" i="4" s="1"/>
  <c r="A43" i="4"/>
  <c r="A44" i="4" s="1"/>
  <c r="A42" i="4"/>
  <c r="A41" i="4"/>
  <c r="A72" i="4"/>
  <c r="A91" i="4"/>
  <c r="A90" i="4"/>
  <c r="A89" i="4"/>
  <c r="A93" i="4"/>
  <c r="A94" i="4" s="1"/>
  <c r="A63" i="4"/>
  <c r="A74" i="4" l="1"/>
  <c r="A75" i="4"/>
  <c r="A45" i="4"/>
  <c r="A48" i="4"/>
  <c r="A69" i="4"/>
  <c r="A60" i="4"/>
  <c r="A59" i="4"/>
  <c r="A57" i="4"/>
  <c r="A58" i="4" l="1"/>
  <c r="A71" i="4"/>
  <c r="A70" i="4" s="1"/>
  <c r="A61" i="4"/>
  <c r="A39" i="4"/>
  <c r="A37" i="4"/>
  <c r="A36" i="4"/>
  <c r="A35" i="4"/>
  <c r="A55" i="4" l="1"/>
  <c r="A54" i="4"/>
  <c r="A53" i="4"/>
  <c r="A25" i="4"/>
  <c r="A23" i="4"/>
  <c r="A21" i="4"/>
  <c r="A19" i="4"/>
  <c r="A20" i="4" s="1"/>
  <c r="A16" i="4"/>
  <c r="A17" i="4" s="1"/>
  <c r="A15" i="4"/>
  <c r="A14" i="4"/>
  <c r="A26" i="4" l="1"/>
  <c r="A28" i="4" s="1"/>
  <c r="A29" i="4" s="1"/>
  <c r="A18" i="4"/>
  <c r="A31" i="4" l="1"/>
  <c r="A32" i="4"/>
  <c r="A33" i="4"/>
  <c r="A30" i="4"/>
  <c r="A34" i="4"/>
  <c r="A27" i="4"/>
  <c r="A65" i="4"/>
  <c r="A64" i="4"/>
  <c r="A84" i="4" l="1"/>
  <c r="A86" i="4"/>
  <c r="A87" i="4" s="1"/>
  <c r="A80" i="4"/>
  <c r="A81" i="4" s="1"/>
  <c r="A82" i="4"/>
  <c r="A83" i="4" s="1"/>
  <c r="A66" i="4"/>
  <c r="A67" i="4"/>
  <c r="A85" i="4" l="1"/>
</calcChain>
</file>

<file path=xl/sharedStrings.xml><?xml version="1.0" encoding="utf-8"?>
<sst xmlns="http://schemas.openxmlformats.org/spreadsheetml/2006/main" count="627" uniqueCount="309">
  <si>
    <t>Workstation</t>
  </si>
  <si>
    <t>Canales</t>
  </si>
  <si>
    <t>Plat. At. Clientes</t>
  </si>
  <si>
    <t>Ofimática</t>
  </si>
  <si>
    <t>N</t>
  </si>
  <si>
    <t>Mediación</t>
  </si>
  <si>
    <t>Activos</t>
  </si>
  <si>
    <t>Pasivos</t>
  </si>
  <si>
    <t>ETL</t>
  </si>
  <si>
    <t>Comercial</t>
  </si>
  <si>
    <t>Créditos</t>
  </si>
  <si>
    <t>Línea de Crédito</t>
  </si>
  <si>
    <t>Tarjetas de Crédito</t>
  </si>
  <si>
    <t>Cuenta Corriente</t>
  </si>
  <si>
    <t>Cuenta Vista</t>
  </si>
  <si>
    <t>Marketing</t>
  </si>
  <si>
    <t>Browser</t>
  </si>
  <si>
    <t>Contact Center</t>
  </si>
  <si>
    <t>COMEX</t>
  </si>
  <si>
    <t>Leasing</t>
  </si>
  <si>
    <t>Factoring</t>
  </si>
  <si>
    <t>Ahorro</t>
  </si>
  <si>
    <t>Captaciones</t>
  </si>
  <si>
    <t>CRM</t>
  </si>
  <si>
    <t>Seguridad</t>
  </si>
  <si>
    <t>Plat. Back-Office</t>
  </si>
  <si>
    <t>Antivirus</t>
  </si>
  <si>
    <t>Especializadas</t>
  </si>
  <si>
    <t>Cash Management</t>
  </si>
  <si>
    <t>Tesorería</t>
  </si>
  <si>
    <t>Campañas</t>
  </si>
  <si>
    <t>DLP</t>
  </si>
  <si>
    <t>BPM</t>
  </si>
  <si>
    <t>Pagos</t>
  </si>
  <si>
    <t>PAC</t>
  </si>
  <si>
    <t>Recaudaciones</t>
  </si>
  <si>
    <t>Forwards</t>
  </si>
  <si>
    <t>Plat. De Cajas</t>
  </si>
  <si>
    <t>Atención Cajas</t>
  </si>
  <si>
    <t>Remuneraciones</t>
  </si>
  <si>
    <t>Cobranzas</t>
  </si>
  <si>
    <t>PAP</t>
  </si>
  <si>
    <t>Apoyo</t>
  </si>
  <si>
    <t>Dispositivos</t>
  </si>
  <si>
    <t>Plat. Autoservicio</t>
  </si>
  <si>
    <t>Financiera</t>
  </si>
  <si>
    <t>Impresora</t>
  </si>
  <si>
    <t>Lógica de Negocio</t>
  </si>
  <si>
    <t>Servicios</t>
  </si>
  <si>
    <t>Transmisión</t>
  </si>
  <si>
    <t>Scanner</t>
  </si>
  <si>
    <t>Contabilidad</t>
  </si>
  <si>
    <t>Garantías</t>
  </si>
  <si>
    <t>Seguros</t>
  </si>
  <si>
    <t>Convenios</t>
  </si>
  <si>
    <t>Conciliación Contable</t>
  </si>
  <si>
    <t>Control de Soportes</t>
  </si>
  <si>
    <t>Inyección</t>
  </si>
  <si>
    <t>Cobranding</t>
  </si>
  <si>
    <t>Tasaciones</t>
  </si>
  <si>
    <t>SGT</t>
  </si>
  <si>
    <t>Facturación</t>
  </si>
  <si>
    <t>Propagación</t>
  </si>
  <si>
    <t>Financiero</t>
  </si>
  <si>
    <t>ATM</t>
  </si>
  <si>
    <t>Trazas</t>
  </si>
  <si>
    <t>Tarificación</t>
  </si>
  <si>
    <t>Impuestos</t>
  </si>
  <si>
    <t>Canje</t>
  </si>
  <si>
    <t>Organismos Externos</t>
  </si>
  <si>
    <t>Control de Valorados</t>
  </si>
  <si>
    <t>Castigos</t>
  </si>
  <si>
    <t>Calendarización</t>
  </si>
  <si>
    <t>Costos</t>
  </si>
  <si>
    <t>TCR</t>
  </si>
  <si>
    <t>Logueo</t>
  </si>
  <si>
    <t>Conciliación Corresponsales</t>
  </si>
  <si>
    <t>Rentabilidad</t>
  </si>
  <si>
    <t>IVR</t>
  </si>
  <si>
    <t>Riesgo</t>
  </si>
  <si>
    <t>Operativa</t>
  </si>
  <si>
    <t>Plat. Institucional</t>
  </si>
  <si>
    <t>Intranet</t>
  </si>
  <si>
    <t>Riesgo Crédito</t>
  </si>
  <si>
    <t>Límites</t>
  </si>
  <si>
    <t>Continuidad del Negocio</t>
  </si>
  <si>
    <t>Log</t>
  </si>
  <si>
    <t>Extranet</t>
  </si>
  <si>
    <t>Clientes</t>
  </si>
  <si>
    <t>Monitoreo</t>
  </si>
  <si>
    <t>Audit Trail</t>
  </si>
  <si>
    <t>ERP</t>
  </si>
  <si>
    <t>CIF</t>
  </si>
  <si>
    <t>Fiscalía</t>
  </si>
  <si>
    <t>Poderes y Firmas</t>
  </si>
  <si>
    <t>Mandatos</t>
  </si>
  <si>
    <t>Preaprobados</t>
  </si>
  <si>
    <t>Estratégica</t>
  </si>
  <si>
    <t>Visualizador BI</t>
  </si>
  <si>
    <t>Requerimientos</t>
  </si>
  <si>
    <t>Avales</t>
  </si>
  <si>
    <t>AML</t>
  </si>
  <si>
    <t>Institucionales</t>
  </si>
  <si>
    <t>Planes</t>
  </si>
  <si>
    <t>RRHH</t>
  </si>
  <si>
    <t>Servicios Generales</t>
  </si>
  <si>
    <t>Acciones</t>
  </si>
  <si>
    <t>Directorio</t>
  </si>
  <si>
    <t>Autenticación y Perfilamiento</t>
  </si>
  <si>
    <t>Correo</t>
  </si>
  <si>
    <t>Impresión Documentos</t>
  </si>
  <si>
    <t>Single Sign On</t>
  </si>
  <si>
    <t>SW Básico</t>
  </si>
  <si>
    <t>Desarrollo</t>
  </si>
  <si>
    <t>Evaluación de Herramientas</t>
  </si>
  <si>
    <t>Proyecto considera desarrollo de aplicaciones de canal?</t>
  </si>
  <si>
    <t>SI</t>
  </si>
  <si>
    <t xml:space="preserve"> </t>
  </si>
  <si>
    <t>Diseño implica desarrollar lógica de negocios en el canal?</t>
  </si>
  <si>
    <t>NO</t>
  </si>
  <si>
    <t>Hay aplicaciónes para uso en canales internos (funcionarios)?</t>
  </si>
  <si>
    <t>Hay desarrollo de componentes que deban ser desplegados en las estaciones Windows?</t>
  </si>
  <si>
    <t>Son las aplicaciones compatibles con la plataforma SSO (Single Sign On)?</t>
  </si>
  <si>
    <t>Hay aplicaciones para uso en canales externos (clientes)?</t>
  </si>
  <si>
    <t>Se considera en el alcance la ejecución de un test de Etical Hacking?</t>
  </si>
  <si>
    <t>Proyecto considera desarrollo de aplicaciones Back End?</t>
  </si>
  <si>
    <t>Aplicaciones requieren integración con back-ends?</t>
  </si>
  <si>
    <t>Se hace uso de servicios BUS?</t>
  </si>
  <si>
    <t>Se re-utilizan servicios existentes?</t>
  </si>
  <si>
    <t>Los servicios a implementar requieren de integridad transaccional?</t>
  </si>
  <si>
    <t>Se diseñaron servicios genéricos?</t>
  </si>
  <si>
    <t>Se diseñaron servicios de baja granularidad?</t>
  </si>
  <si>
    <t>Se diseñaron servicios independientes del canal que los consuma?</t>
  </si>
  <si>
    <t>Los servicios contienen lógica de negocios?</t>
  </si>
  <si>
    <t>Se aumenta el consumo de servicios SRM?</t>
  </si>
  <si>
    <t>Se aumenta el consumo de servicios FIST?</t>
  </si>
  <si>
    <t>Se modifican o copian servicios SRM o FIST?</t>
  </si>
  <si>
    <t>La orquestación de procesos se hace en control M?</t>
  </si>
  <si>
    <t>La generación de interfases es gatillada por Control M?</t>
  </si>
  <si>
    <t>Para la transmisión de archivos se usa FTS?</t>
  </si>
  <si>
    <t>Para la transmisión de archivos de usa FTPS, SFTP o SSH?</t>
  </si>
  <si>
    <t>Se implementan procesos de extración, transformación o carga de datos?</t>
  </si>
  <si>
    <t>Se usa datastage en la implementación?</t>
  </si>
  <si>
    <t>Se usa cobol en la implementación?</t>
  </si>
  <si>
    <t>Se usa otra herramienta en la implementación?</t>
  </si>
  <si>
    <t>Se requiere procesar información de gestión?</t>
  </si>
  <si>
    <t>Se considera la generación de traza necesaria?</t>
  </si>
  <si>
    <t>Se consideran los procesos de transferencias de interfaces con la traza a gestión?</t>
  </si>
  <si>
    <t>Necesita generar nuevos reportes de Gestión</t>
  </si>
  <si>
    <t>Los reportes son generados y visualizados en las herramientas definidas por el equipo de BI?</t>
  </si>
  <si>
    <t>Herramienta administra sus propios perfiles contables?</t>
  </si>
  <si>
    <t>Herramienta genera sus propios asientos contables?</t>
  </si>
  <si>
    <t>Los asientos contables son compatibles con los preceptos COC?</t>
  </si>
  <si>
    <t>Se incorpora proceso de transferencia de asientos contables a herramienta definida como HUB contable?</t>
  </si>
  <si>
    <t>Considera procesos operativos automáticos o manuales para conciliación de la integridad</t>
  </si>
  <si>
    <t>Se genera el log necesario para el procesamiento de la tarificación?</t>
  </si>
  <si>
    <t>Se implementan procesos de transporte del log a aplicación de tarificación?</t>
  </si>
  <si>
    <t>Proyecto utiliza bases de datos?</t>
  </si>
  <si>
    <t>Utiliza bases de datos ORACLE o SQL Server?</t>
  </si>
  <si>
    <t>Hay desarrollos de procedimientos almacenados?</t>
  </si>
  <si>
    <t>Hay creación de nuevas bases de datos?</t>
  </si>
  <si>
    <t>Hay creación de nuevas tablas en bases existentes?</t>
  </si>
  <si>
    <t>Hay incremento de registros en bases existentes?</t>
  </si>
  <si>
    <t>Fue incorporado en capacity planning?</t>
  </si>
  <si>
    <t>CONDICION PARA PREGUNTA</t>
  </si>
  <si>
    <t>Debe indicar zonas impactadas en dominio CANALES dentro del mapa aplicativo</t>
  </si>
  <si>
    <t>Mensaje quiere cambiar de NO a SI</t>
  </si>
  <si>
    <t>Mensaje quiere cambiar de SI a NO</t>
  </si>
  <si>
    <t>Mapa de impacto muestra zonas impactadas en dominio de canales.</t>
  </si>
  <si>
    <t>Debe indicar zonas impactadas en dominio BACK END dentro del mapa aplicativo</t>
  </si>
  <si>
    <t>Mapa de impacto muestra zonas impactadas en dominio de Back End.</t>
  </si>
  <si>
    <t>Debe indicar zonas impactadas en dominio Integración On-line dentro del mapa aplicativo</t>
  </si>
  <si>
    <t>Mapa de impacto muestra zonas impactadas en dominio de Integración On-line.</t>
  </si>
  <si>
    <t>Se desarrollan servicios nuevos?</t>
  </si>
  <si>
    <t>Proyecto requiere procesamiento Batch?</t>
  </si>
  <si>
    <t>Proyecto requiere de integración batch vía interfaces?</t>
  </si>
  <si>
    <t>Proyecto implementa consumo de interfaces batch?</t>
  </si>
  <si>
    <t>Se consumen interfaces ya existentes?</t>
  </si>
  <si>
    <t>Se consumen interfaces nuevas?</t>
  </si>
  <si>
    <t>Las interfaces son genéricas y se extraen los datos con un proceso ETL?</t>
  </si>
  <si>
    <t>Proyecto implementa generación de interfaces batch?</t>
  </si>
  <si>
    <t>Alguna de las interfaces es generada para una aplicación o grupo de aplicaciones específico?</t>
  </si>
  <si>
    <t>Hay ejecución de grupos de transacciones que requieran integridad transaccional?</t>
  </si>
  <si>
    <t>Genera la traza necesaria para saber con certeza el resultado paso a paso de la orquestación de transacciones y poder ejecutar mecanismos de contingencia para la cuadratura?</t>
  </si>
  <si>
    <t>Proyecto implementa o modifica procesos de inyección (transacciones masivas a servicios on-line)?</t>
  </si>
  <si>
    <t>La inyección on-line se ejecuta a través de un número limitado de procesos o hebras simultáneas, con número conocido y configurable?</t>
  </si>
  <si>
    <t>Se necesita recuperar información de clientes?</t>
  </si>
  <si>
    <t>La extracción de datos del cliente se hace desde el CIF (Siebel)?</t>
  </si>
  <si>
    <t>Los datos se obtienen con los servicios BUS correspondientes?</t>
  </si>
  <si>
    <t>Formulario de Auto-evaluación de Arquitectura</t>
  </si>
  <si>
    <t>Debe indicar zonas impactadas en dominio Integración Batch dentro del mapa aplicativo</t>
  </si>
  <si>
    <t>Mapa de impacto muestra zonas impactadas en dominio de Integración Batch.</t>
  </si>
  <si>
    <t>Hay modificación de modelos de datos existentes?</t>
  </si>
  <si>
    <t>Proyecto requiere desarrollar integración on-line?</t>
  </si>
  <si>
    <t>Proyecto requiere generar tarificación?</t>
  </si>
  <si>
    <t>Debe marcar zona "Inyección" en Integración Batch/Mediación dentro del mapa aplicativo</t>
  </si>
  <si>
    <t>Debe desmarcar zona "Inyección" en Integración Batch/Mediación dentro del mapa aplicativo</t>
  </si>
  <si>
    <t>VALOR ESPERADO
Lo que debe responder para estar de acuerdo a la arquitectura</t>
  </si>
  <si>
    <t>VALOR FORZADO
Lo que debe decir de acuerdo a lo detallado en el mapa de impacto. (es una expresion lógica. Una formula)</t>
  </si>
  <si>
    <t>REGLA VALOR CONSECUENTE
Regla para forzar a valor consecuente (si se cumple esta regla, pongo el VALOR CONSECUENTE)</t>
  </si>
  <si>
    <t>REGLA VALOR NO ACEPTADO
Regla para impedir poner un a valor no consecuente (si se cumple esta regla, pongo vacío)</t>
  </si>
  <si>
    <t xml:space="preserve">VALOR NO ACEPTADO
Valor no acorde con los impactos declarados en el mapa aplicativo. </t>
  </si>
  <si>
    <t xml:space="preserve">VALOR CONSECUENTE
Valor forzado por ciertos impactos declarados en el mapa aplicativo. </t>
  </si>
  <si>
    <t>Mensaje al cambiar valor consecuente</t>
  </si>
  <si>
    <t>Mensaje al poner un valor no aceptado</t>
  </si>
  <si>
    <t>Utiliza alguna herramienta de Software que no aparezca en el Mapa de Herramientas To-Be?</t>
  </si>
  <si>
    <t>Requiere consumir o modificar algún sistema que no aparezca en el Mapa de Aplicativos?</t>
  </si>
  <si>
    <t>Requiere instalar algún servidor con sistema operativo distinto a los aprobados en el Estándar de Plataformas de Servicio IT?</t>
  </si>
  <si>
    <t>La lógica de negocios se implementa en Java, .Net o en procedimientos almacenados?</t>
  </si>
  <si>
    <t>El canal se desarrollará en lenguajes diferentes a java ó .Net?</t>
  </si>
  <si>
    <t>Se requiere proteger la privacidad de los datos incluidos en la interface?</t>
  </si>
  <si>
    <t>I</t>
  </si>
  <si>
    <t>No hay conceptos de Canales Internos marcados en el Mapa de Impacto Aplicativo</t>
  </si>
  <si>
    <t>Mapa de Impacto Aplicativo señala que hay desarrollo en Canales Internos</t>
  </si>
  <si>
    <t>Se consultó OER para ver si los servicios requeridos ya existen?</t>
  </si>
  <si>
    <t>Se requiere generar nueva contabilidad?</t>
  </si>
  <si>
    <t>Front Office Venta Personas</t>
  </si>
  <si>
    <t>Front Office Venta Empresas</t>
  </si>
  <si>
    <t>Internet Personas</t>
  </si>
  <si>
    <t>Internet Empresas</t>
  </si>
  <si>
    <t>Correo y mensajería instantánea</t>
  </si>
  <si>
    <t>Firewall personal</t>
  </si>
  <si>
    <t>Lector de huella</t>
  </si>
  <si>
    <t>Lector de cheques</t>
  </si>
  <si>
    <t>monitor</t>
  </si>
  <si>
    <t>teclado</t>
  </si>
  <si>
    <t>reciclador/dispensador</t>
  </si>
  <si>
    <t>especiales</t>
  </si>
  <si>
    <t>Front Office Post-venta Personas</t>
  </si>
  <si>
    <t>Front Office Post-venta Empresas</t>
  </si>
  <si>
    <t>Móviles</t>
  </si>
  <si>
    <t>Integración On-line</t>
  </si>
  <si>
    <t>Procesos de negocio</t>
  </si>
  <si>
    <t>Capacidades (orquestación)</t>
  </si>
  <si>
    <t>Actividades (Mediación)</t>
  </si>
  <si>
    <t>Entidades (Mediación)</t>
  </si>
  <si>
    <t>Utilitarios (Mediación)</t>
  </si>
  <si>
    <t>Procesamiento de Eventos</t>
  </si>
  <si>
    <t>Reglas de negocio</t>
  </si>
  <si>
    <t>BackEnd</t>
  </si>
  <si>
    <t>Alto Valor</t>
  </si>
  <si>
    <t>Swaps</t>
  </si>
  <si>
    <t>Opciomes</t>
  </si>
  <si>
    <t>Compra/Venta de Divisas</t>
  </si>
  <si>
    <t>Renta Fija Nacional</t>
  </si>
  <si>
    <t>Renta Fija Internacional</t>
  </si>
  <si>
    <t>Líneas Financieras</t>
  </si>
  <si>
    <t>Envios Clientes</t>
  </si>
  <si>
    <t>Swift</t>
  </si>
  <si>
    <t>Custodia de Valores DCC</t>
  </si>
  <si>
    <t>Transferencias de Fondos</t>
  </si>
  <si>
    <t>Recuperación y Cobranza</t>
  </si>
  <si>
    <t>Posición de cambio</t>
  </si>
  <si>
    <t>Continuidad del negocio</t>
  </si>
  <si>
    <t>Prevención de Fraude</t>
  </si>
  <si>
    <t>Apoyo a la venta</t>
  </si>
  <si>
    <t>Gestión de Proyectos</t>
  </si>
  <si>
    <t>Control de Presupuesto</t>
  </si>
  <si>
    <t>Control de remesas</t>
  </si>
  <si>
    <t>Back-end Tecnológico</t>
  </si>
  <si>
    <t>Adm. Documental</t>
  </si>
  <si>
    <t>Test y QA</t>
  </si>
  <si>
    <t>Admin. Configuración</t>
  </si>
  <si>
    <t>Soporte y Admin.</t>
  </si>
  <si>
    <t>Integración batch</t>
  </si>
  <si>
    <t>Gestión</t>
  </si>
  <si>
    <t>Data Warehouse</t>
  </si>
  <si>
    <t>Analítico</t>
  </si>
  <si>
    <t>Auditoria</t>
  </si>
  <si>
    <t>Opercional</t>
  </si>
  <si>
    <t>Campagnas</t>
  </si>
  <si>
    <t>Comunicación(Mediación)</t>
  </si>
  <si>
    <t>Existe una solución aplicativa ya implementada que pudiera satisfacer esta necesidad?</t>
  </si>
  <si>
    <t>El proyecto implementa aplicativos nuevos?</t>
  </si>
  <si>
    <t>Nombre Proyecto</t>
  </si>
  <si>
    <t>Número PPM</t>
  </si>
  <si>
    <t>Control de Versiones Template</t>
  </si>
  <si>
    <t>Fecha elaboración</t>
  </si>
  <si>
    <t>Versión</t>
  </si>
  <si>
    <t>Elaborado por</t>
  </si>
  <si>
    <t>Revisado por y fecha</t>
  </si>
  <si>
    <t>Principales Cambios</t>
  </si>
  <si>
    <t>V2.00</t>
  </si>
  <si>
    <t>J. Wemyss</t>
  </si>
  <si>
    <t>R. Maldonado</t>
  </si>
  <si>
    <t>Se incorpora el concepto de construir el cuestionario en funcion de lo que se declara en el Mapa Impacto Aplicativo</t>
  </si>
  <si>
    <t>Se entregó la información para que éste se ingrese al Mapa Aplicativo</t>
  </si>
  <si>
    <t>Las interfaces son transmitidas a un servidor intermedio desde donde se extrae la información vía ETL?</t>
  </si>
  <si>
    <t>El proceso de transferencia de interfases fue consensuado con el grupo BI?</t>
  </si>
  <si>
    <t>El perfilamiento y su administración es compatible con los preceptos COC?</t>
  </si>
  <si>
    <t>Alguno de estos grupos de transacciones se orquestan en el canal o en un back-end?</t>
  </si>
  <si>
    <t>Usa algún mecanismo diferente a BPEL o Tuxedo para la implementación de la orquestación y ejecución de alguno de estos grupos de transacciones?</t>
  </si>
  <si>
    <t>El proceso de inyección respeta el límite de 5.000 transacciones por vía on-line?</t>
  </si>
  <si>
    <t>Se implementa mecanismo tipo "input-file" para los casos en que se supere el límite de 5.000 transacciones vía on-line?</t>
  </si>
  <si>
    <t>Especiales</t>
  </si>
  <si>
    <t>Soporte</t>
  </si>
  <si>
    <t>BI</t>
  </si>
  <si>
    <t>Mapa de impacto muestra zonas impactadas en dominio de Gestión.</t>
  </si>
  <si>
    <t>Debe indicar zonas impactadas en dominio de Gestión dentro del mapa aplicativo</t>
  </si>
  <si>
    <t>Antes de cambiar este valor debe marcar concepto Tarificación en mapa de impacto aplicativo</t>
  </si>
  <si>
    <t>Mapa de impacto muestra el concepto Tarificación como impactado en dominio de Backend.</t>
  </si>
  <si>
    <t>Incorpora traza de operación para auditoría?</t>
  </si>
  <si>
    <t>Los procedimientos almacedados son optimizados en conjunto con los DBA del Banco</t>
  </si>
  <si>
    <t>No hay conceptos de Canales Externos marcados en el Mapa de Impacto Aplicativo</t>
  </si>
  <si>
    <t>Mapa de Impacto Aplicativo señala que hay desarrollo en Canales Externos</t>
  </si>
  <si>
    <t>Proyecto cumple con la Arquitectura Tecnológica Definida</t>
  </si>
  <si>
    <t>C</t>
  </si>
  <si>
    <t>Plataforma Transaccional Móvil</t>
  </si>
  <si>
    <t>79745.1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</si>
</sst>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2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0"/>
      <color indexed="6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DA62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899DA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FED11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0" fillId="0" borderId="0" xfId="0" applyBorder="1" applyProtection="1"/>
    <xf numFmtId="0" fontId="3" fillId="2" borderId="0" xfId="0" applyFont="1" applyFill="1" applyBorder="1" applyAlignment="1" applyProtection="1">
      <alignment horizontal="left" indent="3"/>
    </xf>
    <xf numFmtId="0" fontId="1" fillId="2" borderId="0" xfId="0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horizontal="left" indent="6"/>
    </xf>
    <xf numFmtId="0" fontId="3" fillId="2" borderId="0" xfId="0" applyFont="1" applyFill="1" applyBorder="1" applyAlignment="1" applyProtection="1">
      <alignment horizontal="left" indent="9"/>
    </xf>
    <xf numFmtId="0" fontId="0" fillId="0" borderId="0" xfId="0" applyAlignment="1" applyProtection="1">
      <alignment horizontal="center"/>
    </xf>
    <xf numFmtId="0" fontId="3" fillId="2" borderId="0" xfId="0" applyFont="1" applyFill="1" applyBorder="1" applyAlignment="1" applyProtection="1">
      <alignment horizontal="left" wrapText="1" indent="3"/>
    </xf>
    <xf numFmtId="0" fontId="1" fillId="2" borderId="0" xfId="0" applyFont="1" applyFill="1" applyBorder="1" applyAlignment="1" applyProtection="1">
      <alignment horizontal="left" wrapText="1"/>
    </xf>
    <xf numFmtId="0" fontId="3" fillId="2" borderId="0" xfId="0" applyFont="1" applyFill="1" applyBorder="1" applyAlignment="1" applyProtection="1">
      <alignment horizontal="left" wrapText="1" indent="6"/>
    </xf>
    <xf numFmtId="0" fontId="3" fillId="2" borderId="0" xfId="0" applyFont="1" applyFill="1" applyBorder="1" applyAlignment="1" applyProtection="1">
      <alignment horizontal="left" wrapText="1" indent="9"/>
    </xf>
    <xf numFmtId="0" fontId="0" fillId="0" borderId="1" xfId="0" applyBorder="1" applyProtection="1"/>
    <xf numFmtId="0" fontId="0" fillId="0" borderId="2" xfId="0" applyFill="1" applyBorder="1" applyProtection="1"/>
    <xf numFmtId="0" fontId="0" fillId="0" borderId="2" xfId="0" applyBorder="1" applyAlignment="1" applyProtection="1">
      <alignment horizontal="center"/>
    </xf>
    <xf numFmtId="0" fontId="0" fillId="0" borderId="3" xfId="0" applyBorder="1" applyProtection="1"/>
    <xf numFmtId="0" fontId="0" fillId="2" borderId="4" xfId="0" applyFill="1" applyBorder="1" applyProtection="1"/>
    <xf numFmtId="0" fontId="0" fillId="0" borderId="5" xfId="0" applyBorder="1" applyProtection="1"/>
    <xf numFmtId="0" fontId="0" fillId="0" borderId="4" xfId="0" applyBorder="1" applyProtection="1"/>
    <xf numFmtId="0" fontId="0" fillId="0" borderId="6" xfId="0" applyBorder="1" applyProtection="1"/>
    <xf numFmtId="0" fontId="0" fillId="0" borderId="7" xfId="0" applyFill="1" applyBorder="1" applyProtection="1"/>
    <xf numFmtId="0" fontId="0" fillId="0" borderId="7" xfId="0" applyBorder="1" applyAlignment="1" applyProtection="1">
      <alignment horizontal="center"/>
    </xf>
    <xf numFmtId="0" fontId="0" fillId="0" borderId="8" xfId="0" applyBorder="1" applyProtection="1"/>
    <xf numFmtId="0" fontId="0" fillId="0" borderId="9" xfId="0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left" wrapText="1" indent="12"/>
    </xf>
    <xf numFmtId="0" fontId="1" fillId="2" borderId="10" xfId="0" applyFont="1" applyFill="1" applyBorder="1" applyAlignment="1" applyProtection="1">
      <alignment horizontal="left" wrapText="1"/>
    </xf>
    <xf numFmtId="0" fontId="0" fillId="0" borderId="0" xfId="0"/>
    <xf numFmtId="0" fontId="3" fillId="2" borderId="10" xfId="0" applyFont="1" applyFill="1" applyBorder="1" applyAlignment="1" applyProtection="1">
      <alignment horizontal="left" wrapText="1" indent="3"/>
    </xf>
    <xf numFmtId="0" fontId="3" fillId="2" borderId="10" xfId="0" applyFont="1" applyFill="1" applyBorder="1" applyAlignment="1" applyProtection="1">
      <alignment horizontal="left" wrapText="1" indent="6"/>
    </xf>
    <xf numFmtId="0" fontId="0" fillId="0" borderId="5" xfId="0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left" wrapText="1" indent="6"/>
    </xf>
    <xf numFmtId="0" fontId="4" fillId="0" borderId="0" xfId="0" applyFont="1" applyAlignment="1" applyProtection="1">
      <alignment horizontal="center" vertical="center" wrapText="1"/>
    </xf>
    <xf numFmtId="0" fontId="0" fillId="0" borderId="7" xfId="0" applyBorder="1" applyProtection="1"/>
    <xf numFmtId="0" fontId="3" fillId="2" borderId="5" xfId="0" applyFont="1" applyFill="1" applyBorder="1" applyAlignment="1" applyProtection="1">
      <alignment horizontal="left" wrapText="1" indent="6"/>
    </xf>
    <xf numFmtId="0" fontId="2" fillId="2" borderId="0" xfId="0" applyFont="1" applyFill="1" applyBorder="1" applyAlignment="1" applyProtection="1">
      <alignment horizontal="left" wrapText="1"/>
    </xf>
    <xf numFmtId="0" fontId="0" fillId="0" borderId="11" xfId="0" applyBorder="1" applyAlignment="1" applyProtection="1">
      <alignment horizontal="center"/>
    </xf>
    <xf numFmtId="0" fontId="0" fillId="0" borderId="0" xfId="0" applyAlignment="1" applyProtection="1">
      <alignment horizontal="left" indent="3"/>
    </xf>
    <xf numFmtId="0" fontId="0" fillId="2" borderId="4" xfId="0" applyFill="1" applyBorder="1" applyAlignment="1" applyProtection="1">
      <alignment horizontal="left" indent="3"/>
    </xf>
    <xf numFmtId="0" fontId="3" fillId="2" borderId="0" xfId="0" applyFont="1" applyFill="1" applyBorder="1" applyAlignment="1" applyProtection="1">
      <alignment horizontal="left" indent="12"/>
    </xf>
    <xf numFmtId="0" fontId="0" fillId="0" borderId="9" xfId="0" applyBorder="1" applyAlignment="1" applyProtection="1">
      <alignment horizontal="left" indent="3"/>
    </xf>
    <xf numFmtId="0" fontId="0" fillId="0" borderId="5" xfId="0" applyBorder="1" applyAlignment="1" applyProtection="1">
      <alignment horizontal="left" indent="3"/>
    </xf>
    <xf numFmtId="0" fontId="0" fillId="0" borderId="0" xfId="0" applyAlignment="1" applyProtection="1">
      <alignment horizontal="left" vertical="center" indent="3"/>
    </xf>
    <xf numFmtId="0" fontId="4" fillId="0" borderId="0" xfId="0" applyFont="1" applyBorder="1" applyAlignment="1">
      <alignment wrapText="1"/>
    </xf>
    <xf numFmtId="0" fontId="4" fillId="0" borderId="12" xfId="0" applyFont="1" applyBorder="1" applyAlignment="1">
      <alignment wrapText="1"/>
    </xf>
    <xf numFmtId="0" fontId="4" fillId="0" borderId="10" xfId="0" applyFont="1" applyBorder="1" applyAlignment="1">
      <alignment wrapText="1"/>
    </xf>
    <xf numFmtId="0" fontId="4" fillId="0" borderId="14" xfId="0" applyFont="1" applyBorder="1" applyAlignment="1">
      <alignment wrapText="1"/>
    </xf>
    <xf numFmtId="0" fontId="4" fillId="0" borderId="2" xfId="0" applyFont="1" applyBorder="1" applyAlignment="1">
      <alignment wrapText="1"/>
    </xf>
    <xf numFmtId="0" fontId="4" fillId="0" borderId="3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4" fillId="0" borderId="17" xfId="0" applyFont="1" applyBorder="1" applyAlignment="1">
      <alignment wrapText="1"/>
    </xf>
    <xf numFmtId="0" fontId="4" fillId="5" borderId="0" xfId="0" applyFont="1" applyFill="1" applyBorder="1" applyAlignment="1">
      <alignment wrapText="1"/>
    </xf>
    <xf numFmtId="0" fontId="4" fillId="5" borderId="7" xfId="0" applyFont="1" applyFill="1" applyBorder="1" applyAlignment="1">
      <alignment wrapText="1"/>
    </xf>
    <xf numFmtId="0" fontId="4" fillId="5" borderId="15" xfId="0" applyFont="1" applyFill="1" applyBorder="1" applyAlignment="1">
      <alignment wrapText="1"/>
    </xf>
    <xf numFmtId="0" fontId="4" fillId="5" borderId="2" xfId="0" applyFont="1" applyFill="1" applyBorder="1" applyAlignment="1">
      <alignment wrapText="1"/>
    </xf>
    <xf numFmtId="0" fontId="4" fillId="5" borderId="3" xfId="0" applyFont="1" applyFill="1" applyBorder="1" applyAlignment="1">
      <alignment wrapText="1"/>
    </xf>
    <xf numFmtId="0" fontId="4" fillId="5" borderId="5" xfId="0" applyFont="1" applyFill="1" applyBorder="1" applyAlignment="1">
      <alignment wrapText="1"/>
    </xf>
    <xf numFmtId="0" fontId="4" fillId="5" borderId="8" xfId="0" applyFont="1" applyFill="1" applyBorder="1" applyAlignment="1">
      <alignment wrapText="1"/>
    </xf>
    <xf numFmtId="0" fontId="4" fillId="5" borderId="16" xfId="0" applyFont="1" applyFill="1" applyBorder="1" applyAlignment="1">
      <alignment wrapText="1"/>
    </xf>
    <xf numFmtId="0" fontId="4" fillId="5" borderId="17" xfId="0" applyFont="1" applyFill="1" applyBorder="1" applyAlignment="1">
      <alignment wrapText="1"/>
    </xf>
    <xf numFmtId="0" fontId="4" fillId="6" borderId="10" xfId="0" applyFont="1" applyFill="1" applyBorder="1" applyAlignment="1">
      <alignment wrapText="1"/>
    </xf>
    <xf numFmtId="0" fontId="4" fillId="6" borderId="14" xfId="0" applyFont="1" applyFill="1" applyBorder="1" applyAlignment="1">
      <alignment wrapText="1"/>
    </xf>
    <xf numFmtId="0" fontId="6" fillId="6" borderId="10" xfId="0" applyFont="1" applyFill="1" applyBorder="1" applyAlignment="1">
      <alignment wrapText="1"/>
    </xf>
    <xf numFmtId="0" fontId="6" fillId="6" borderId="14" xfId="0" applyFont="1" applyFill="1" applyBorder="1" applyAlignment="1">
      <alignment wrapText="1"/>
    </xf>
    <xf numFmtId="0" fontId="4" fillId="7" borderId="12" xfId="0" applyFont="1" applyFill="1" applyBorder="1" applyAlignment="1">
      <alignment wrapText="1"/>
    </xf>
    <xf numFmtId="0" fontId="4" fillId="7" borderId="13" xfId="0" applyFont="1" applyFill="1" applyBorder="1" applyAlignment="1">
      <alignment wrapText="1"/>
    </xf>
    <xf numFmtId="0" fontId="4" fillId="7" borderId="15" xfId="0" applyFont="1" applyFill="1" applyBorder="1" applyAlignment="1">
      <alignment wrapText="1"/>
    </xf>
    <xf numFmtId="0" fontId="4" fillId="7" borderId="16" xfId="0" applyFont="1" applyFill="1" applyBorder="1" applyAlignment="1">
      <alignment wrapText="1"/>
    </xf>
    <xf numFmtId="0" fontId="4" fillId="8" borderId="12" xfId="0" applyFont="1" applyFill="1" applyBorder="1" applyAlignment="1">
      <alignment wrapText="1"/>
    </xf>
    <xf numFmtId="0" fontId="4" fillId="8" borderId="13" xfId="0" applyFont="1" applyFill="1" applyBorder="1" applyAlignment="1">
      <alignment wrapText="1"/>
    </xf>
    <xf numFmtId="0" fontId="4" fillId="8" borderId="3" xfId="0" applyFont="1" applyFill="1" applyBorder="1" applyAlignment="1">
      <alignment wrapText="1"/>
    </xf>
    <xf numFmtId="0" fontId="7" fillId="0" borderId="12" xfId="0" applyFont="1" applyBorder="1" applyAlignment="1">
      <alignment wrapText="1"/>
    </xf>
    <xf numFmtId="0" fontId="0" fillId="0" borderId="0" xfId="0" applyFill="1" applyBorder="1" applyProtection="1"/>
    <xf numFmtId="0" fontId="4" fillId="9" borderId="12" xfId="0" applyFont="1" applyFill="1" applyBorder="1" applyAlignment="1">
      <alignment wrapText="1"/>
    </xf>
    <xf numFmtId="0" fontId="4" fillId="9" borderId="13" xfId="0" applyFont="1" applyFill="1" applyBorder="1" applyAlignment="1">
      <alignment wrapText="1"/>
    </xf>
    <xf numFmtId="0" fontId="4" fillId="9" borderId="14" xfId="0" applyFont="1" applyFill="1" applyBorder="1" applyAlignment="1">
      <alignment wrapText="1"/>
    </xf>
    <xf numFmtId="0" fontId="0" fillId="0" borderId="18" xfId="0" applyBorder="1" applyAlignment="1" applyProtection="1">
      <alignment horizontal="center"/>
    </xf>
    <xf numFmtId="0" fontId="0" fillId="0" borderId="0" xfId="0" quotePrefix="1"/>
    <xf numFmtId="0" fontId="9" fillId="6" borderId="0" xfId="0" applyFont="1" applyFill="1" applyProtection="1"/>
    <xf numFmtId="0" fontId="10" fillId="0" borderId="0" xfId="0" applyFont="1" applyAlignment="1" applyProtection="1">
      <alignment horizontal="center" wrapText="1"/>
    </xf>
    <xf numFmtId="0" fontId="10" fillId="0" borderId="0" xfId="0" applyFont="1" applyAlignment="1" applyProtection="1">
      <alignment vertical="center" wrapText="1"/>
    </xf>
    <xf numFmtId="0" fontId="10" fillId="0" borderId="0" xfId="0" applyFont="1" applyAlignment="1" applyProtection="1">
      <alignment wrapText="1"/>
    </xf>
    <xf numFmtId="0" fontId="10" fillId="0" borderId="0" xfId="0" applyFont="1" applyFill="1" applyBorder="1" applyAlignment="1" applyProtection="1">
      <alignment horizontal="center" wrapText="1"/>
    </xf>
    <xf numFmtId="0" fontId="12" fillId="0" borderId="0" xfId="0" applyFont="1" applyBorder="1" applyAlignment="1">
      <alignment vertical="top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14" fillId="10" borderId="19" xfId="0" applyFont="1" applyFill="1" applyBorder="1" applyAlignment="1" applyProtection="1">
      <alignment horizontal="center" vertical="top" wrapText="1"/>
    </xf>
    <xf numFmtId="0" fontId="14" fillId="10" borderId="25" xfId="0" applyFont="1" applyFill="1" applyBorder="1" applyAlignment="1" applyProtection="1">
      <alignment horizontal="center" vertical="top" wrapText="1"/>
    </xf>
    <xf numFmtId="14" fontId="0" fillId="0" borderId="26" xfId="0" applyNumberFormat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14" fontId="0" fillId="0" borderId="21" xfId="0" applyNumberFormat="1" applyBorder="1" applyAlignment="1" applyProtection="1">
      <alignment horizontal="center" vertical="center" wrapText="1"/>
      <protection locked="0"/>
    </xf>
    <xf numFmtId="0" fontId="15" fillId="0" borderId="29" xfId="0" applyFont="1" applyBorder="1" applyAlignment="1" applyProtection="1">
      <alignment horizontal="center" vertical="center" wrapText="1"/>
      <protection locked="0"/>
    </xf>
    <xf numFmtId="0" fontId="16" fillId="0" borderId="23" xfId="0" applyFont="1" applyFill="1" applyBorder="1" applyProtection="1"/>
    <xf numFmtId="0" fontId="16" fillId="0" borderId="24" xfId="0" applyFont="1" applyFill="1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5" fillId="4" borderId="0" xfId="0" applyFont="1" applyFill="1" applyAlignment="1" applyProtection="1">
      <alignment horizontal="center"/>
    </xf>
    <xf numFmtId="0" fontId="0" fillId="0" borderId="0" xfId="0" applyAlignment="1"/>
    <xf numFmtId="0" fontId="4" fillId="0" borderId="0" xfId="0" applyFont="1" applyBorder="1" applyAlignment="1" applyProtection="1">
      <alignment horizontal="center" vertical="center" wrapText="1"/>
    </xf>
    <xf numFmtId="0" fontId="8" fillId="4" borderId="19" xfId="0" applyFont="1" applyFill="1" applyBorder="1" applyAlignment="1" applyProtection="1"/>
    <xf numFmtId="0" fontId="8" fillId="4" borderId="20" xfId="0" applyFont="1" applyFill="1" applyBorder="1" applyAlignment="1" applyProtection="1"/>
    <xf numFmtId="0" fontId="8" fillId="4" borderId="21" xfId="0" applyFont="1" applyFill="1" applyBorder="1" applyAlignment="1" applyProtection="1"/>
    <xf numFmtId="0" fontId="8" fillId="4" borderId="22" xfId="0" applyFont="1" applyFill="1" applyBorder="1" applyAlignment="1" applyProtection="1"/>
    <xf numFmtId="0" fontId="15" fillId="0" borderId="29" xfId="0" applyFont="1" applyBorder="1" applyAlignment="1" applyProtection="1">
      <alignment horizontal="center" vertical="center" wrapText="1"/>
      <protection locked="0"/>
    </xf>
    <xf numFmtId="0" fontId="15" fillId="0" borderId="22" xfId="0" applyFont="1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center" vertical="center" wrapText="1"/>
    </xf>
    <xf numFmtId="0" fontId="11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center" wrapText="1"/>
    </xf>
    <xf numFmtId="0" fontId="10" fillId="10" borderId="16" xfId="0" applyFont="1" applyFill="1" applyBorder="1" applyAlignment="1" applyProtection="1">
      <alignment horizontal="center"/>
    </xf>
    <xf numFmtId="0" fontId="10" fillId="10" borderId="17" xfId="0" applyFont="1" applyFill="1" applyBorder="1" applyAlignment="1" applyProtection="1">
      <alignment horizontal="center"/>
    </xf>
    <xf numFmtId="0" fontId="10" fillId="10" borderId="15" xfId="0" applyFont="1" applyFill="1" applyBorder="1" applyAlignment="1" applyProtection="1">
      <alignment horizontal="center"/>
    </xf>
    <xf numFmtId="0" fontId="14" fillId="10" borderId="25" xfId="0" applyFont="1" applyFill="1" applyBorder="1" applyAlignment="1" applyProtection="1">
      <alignment horizontal="center" vertical="top" wrapText="1"/>
    </xf>
    <xf numFmtId="0" fontId="14" fillId="10" borderId="20" xfId="0" applyFont="1" applyFill="1" applyBorder="1" applyAlignment="1" applyProtection="1">
      <alignment horizontal="center" vertical="top" wrapText="1"/>
    </xf>
    <xf numFmtId="0" fontId="15" fillId="0" borderId="30" xfId="0" applyFont="1" applyBorder="1" applyAlignment="1" applyProtection="1">
      <alignment horizontal="left" vertical="center" wrapText="1"/>
      <protection locked="0"/>
    </xf>
    <xf numFmtId="0" fontId="15" fillId="0" borderId="31" xfId="0" applyFont="1" applyBorder="1" applyAlignment="1" applyProtection="1">
      <alignment horizontal="left" vertical="center" wrapText="1"/>
      <protection locked="0"/>
    </xf>
    <xf numFmtId="0" fontId="15" fillId="0" borderId="32" xfId="0" applyFont="1" applyBorder="1" applyAlignment="1" applyProtection="1">
      <alignment horizontal="left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0" fontId="4" fillId="11" borderId="12" xfId="0" applyFont="1" applyFill="1" applyBorder="1" applyAlignment="1">
      <alignment wrapText="1"/>
    </xf>
    <xf numFmtId="0" fontId="4" fillId="12" borderId="12" xfId="0" applyFont="1" applyFill="1" applyBorder="1" applyAlignment="1">
      <alignment wrapText="1"/>
    </xf>
    <xf numFmtId="0" fontId="4" fillId="12" borderId="13" xfId="0" applyFont="1" applyFill="1" applyBorder="1" applyAlignment="1">
      <alignment wrapText="1"/>
    </xf>
    <xf numFmtId="0" fontId="3" fillId="3" borderId="0" xfId="0" applyFont="1" applyFill="1" applyBorder="1" applyAlignment="1" applyProtection="1">
      <alignment horizontal="left" wrapText="1" indent="3"/>
    </xf>
    <xf numFmtId="0" fontId="0" fillId="13" borderId="0" xfId="0" applyFill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458932</xdr:colOff>
      <xdr:row>34</xdr:row>
      <xdr:rowOff>42639</xdr:rowOff>
    </xdr:from>
    <xdr:to>
      <xdr:col>10</xdr:col>
      <xdr:colOff>372341</xdr:colOff>
      <xdr:row>36</xdr:row>
      <xdr:rowOff>80739</xdr:rowOff>
    </xdr:to>
    <xdr:sp macro="" textlink="">
      <xdr:nvSpPr>
        <xdr:cNvPr id="195" name="Rectangle 298"/>
        <xdr:cNvSpPr>
          <a:spLocks noChangeArrowheads="1"/>
        </xdr:cNvSpPr>
      </xdr:nvSpPr>
      <xdr:spPr bwMode="auto">
        <a:xfrm>
          <a:off x="3506932" y="6519639"/>
          <a:ext cx="4485409" cy="419100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1</xdr:col>
      <xdr:colOff>53184</xdr:colOff>
      <xdr:row>4</xdr:row>
      <xdr:rowOff>173189</xdr:rowOff>
    </xdr:from>
    <xdr:to>
      <xdr:col>1</xdr:col>
      <xdr:colOff>753959</xdr:colOff>
      <xdr:row>27</xdr:row>
      <xdr:rowOff>163650</xdr:rowOff>
    </xdr:to>
    <xdr:sp macro="" textlink="">
      <xdr:nvSpPr>
        <xdr:cNvPr id="2" name="Rectangle 301"/>
        <xdr:cNvSpPr>
          <a:spLocks noChangeArrowheads="1"/>
        </xdr:cNvSpPr>
      </xdr:nvSpPr>
      <xdr:spPr bwMode="auto">
        <a:xfrm>
          <a:off x="815184" y="935189"/>
          <a:ext cx="700775" cy="4371961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4</xdr:col>
      <xdr:colOff>665591</xdr:colOff>
      <xdr:row>14</xdr:row>
      <xdr:rowOff>83940</xdr:rowOff>
    </xdr:from>
    <xdr:to>
      <xdr:col>10</xdr:col>
      <xdr:colOff>202052</xdr:colOff>
      <xdr:row>20</xdr:row>
      <xdr:rowOff>42665</xdr:rowOff>
    </xdr:to>
    <xdr:sp macro="" textlink="">
      <xdr:nvSpPr>
        <xdr:cNvPr id="3" name="Rectangle 197"/>
        <xdr:cNvSpPr>
          <a:spLocks noChangeArrowheads="1"/>
        </xdr:cNvSpPr>
      </xdr:nvSpPr>
      <xdr:spPr bwMode="auto">
        <a:xfrm>
          <a:off x="3713591" y="2750940"/>
          <a:ext cx="4108461" cy="1101725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11</xdr:col>
      <xdr:colOff>619206</xdr:colOff>
      <xdr:row>4</xdr:row>
      <xdr:rowOff>15100</xdr:rowOff>
    </xdr:from>
    <xdr:to>
      <xdr:col>12</xdr:col>
      <xdr:colOff>676191</xdr:colOff>
      <xdr:row>36</xdr:row>
      <xdr:rowOff>34636</xdr:rowOff>
    </xdr:to>
    <xdr:sp macro="" textlink="">
      <xdr:nvSpPr>
        <xdr:cNvPr id="4" name="Rectangle 317"/>
        <xdr:cNvSpPr>
          <a:spLocks noChangeArrowheads="1"/>
        </xdr:cNvSpPr>
      </xdr:nvSpPr>
      <xdr:spPr bwMode="auto">
        <a:xfrm>
          <a:off x="9001206" y="777100"/>
          <a:ext cx="818985" cy="6115536"/>
        </a:xfrm>
        <a:prstGeom prst="rect">
          <a:avLst/>
        </a:prstGeom>
        <a:noFill/>
        <a:ln w="31750" algn="ctr">
          <a:solidFill>
            <a:schemeClr val="tx2">
              <a:lumMod val="60000"/>
              <a:lumOff val="40000"/>
            </a:schemeClr>
          </a:solidFill>
          <a:miter lim="800000"/>
          <a:headEnd/>
          <a:tailEnd/>
        </a:ln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4</xdr:col>
      <xdr:colOff>657639</xdr:colOff>
      <xdr:row>21</xdr:row>
      <xdr:rowOff>8657</xdr:rowOff>
    </xdr:from>
    <xdr:to>
      <xdr:col>10</xdr:col>
      <xdr:colOff>202052</xdr:colOff>
      <xdr:row>23</xdr:row>
      <xdr:rowOff>9512</xdr:rowOff>
    </xdr:to>
    <xdr:sp macro="" textlink="">
      <xdr:nvSpPr>
        <xdr:cNvPr id="5" name="Rectangle 198"/>
        <xdr:cNvSpPr>
          <a:spLocks noChangeArrowheads="1"/>
        </xdr:cNvSpPr>
      </xdr:nvSpPr>
      <xdr:spPr bwMode="auto">
        <a:xfrm>
          <a:off x="3705639" y="4009157"/>
          <a:ext cx="4116413" cy="381855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4</xdr:col>
      <xdr:colOff>657639</xdr:colOff>
      <xdr:row>23</xdr:row>
      <xdr:rowOff>155861</xdr:rowOff>
    </xdr:from>
    <xdr:to>
      <xdr:col>10</xdr:col>
      <xdr:colOff>202052</xdr:colOff>
      <xdr:row>27</xdr:row>
      <xdr:rowOff>30464</xdr:rowOff>
    </xdr:to>
    <xdr:sp macro="" textlink="">
      <xdr:nvSpPr>
        <xdr:cNvPr id="6" name="Rectangle 199"/>
        <xdr:cNvSpPr>
          <a:spLocks noChangeArrowheads="1"/>
        </xdr:cNvSpPr>
      </xdr:nvSpPr>
      <xdr:spPr bwMode="auto">
        <a:xfrm>
          <a:off x="3705639" y="4537361"/>
          <a:ext cx="4116413" cy="636603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4</xdr:col>
      <xdr:colOff>649689</xdr:colOff>
      <xdr:row>27</xdr:row>
      <xdr:rowOff>173181</xdr:rowOff>
    </xdr:from>
    <xdr:to>
      <xdr:col>10</xdr:col>
      <xdr:colOff>202053</xdr:colOff>
      <xdr:row>29</xdr:row>
      <xdr:rowOff>166491</xdr:rowOff>
    </xdr:to>
    <xdr:sp macro="" textlink="">
      <xdr:nvSpPr>
        <xdr:cNvPr id="7" name="Rectangle 200"/>
        <xdr:cNvSpPr>
          <a:spLocks noChangeArrowheads="1"/>
        </xdr:cNvSpPr>
      </xdr:nvSpPr>
      <xdr:spPr bwMode="auto">
        <a:xfrm>
          <a:off x="3697689" y="5316681"/>
          <a:ext cx="4124364" cy="374310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4</xdr:col>
      <xdr:colOff>674251</xdr:colOff>
      <xdr:row>8</xdr:row>
      <xdr:rowOff>178326</xdr:rowOff>
    </xdr:from>
    <xdr:to>
      <xdr:col>7</xdr:col>
      <xdr:colOff>399931</xdr:colOff>
      <xdr:row>13</xdr:row>
      <xdr:rowOff>95249</xdr:rowOff>
    </xdr:to>
    <xdr:sp macro="" textlink="">
      <xdr:nvSpPr>
        <xdr:cNvPr id="8" name="Rectangle 194"/>
        <xdr:cNvSpPr>
          <a:spLocks noChangeArrowheads="1"/>
        </xdr:cNvSpPr>
      </xdr:nvSpPr>
      <xdr:spPr bwMode="auto">
        <a:xfrm>
          <a:off x="3722251" y="1702326"/>
          <a:ext cx="2011680" cy="869423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7</xdr:col>
      <xdr:colOff>502589</xdr:colOff>
      <xdr:row>9</xdr:row>
      <xdr:rowOff>13804</xdr:rowOff>
    </xdr:from>
    <xdr:to>
      <xdr:col>10</xdr:col>
      <xdr:colOff>202052</xdr:colOff>
      <xdr:row>13</xdr:row>
      <xdr:rowOff>86592</xdr:rowOff>
    </xdr:to>
    <xdr:sp macro="" textlink="">
      <xdr:nvSpPr>
        <xdr:cNvPr id="9" name="Rectangle 196"/>
        <xdr:cNvSpPr>
          <a:spLocks noChangeArrowheads="1"/>
        </xdr:cNvSpPr>
      </xdr:nvSpPr>
      <xdr:spPr bwMode="auto">
        <a:xfrm>
          <a:off x="5836589" y="1728304"/>
          <a:ext cx="1985463" cy="834788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4</xdr:col>
      <xdr:colOff>665592</xdr:colOff>
      <xdr:row>4</xdr:row>
      <xdr:rowOff>178470</xdr:rowOff>
    </xdr:from>
    <xdr:to>
      <xdr:col>7</xdr:col>
      <xdr:colOff>407174</xdr:colOff>
      <xdr:row>8</xdr:row>
      <xdr:rowOff>25978</xdr:rowOff>
    </xdr:to>
    <xdr:sp macro="" textlink="">
      <xdr:nvSpPr>
        <xdr:cNvPr id="10" name="Rectangle 183"/>
        <xdr:cNvSpPr>
          <a:spLocks noChangeArrowheads="1"/>
        </xdr:cNvSpPr>
      </xdr:nvSpPr>
      <xdr:spPr bwMode="auto">
        <a:xfrm>
          <a:off x="3713592" y="940470"/>
          <a:ext cx="2027582" cy="609508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7</xdr:col>
      <xdr:colOff>574152</xdr:colOff>
      <xdr:row>4</xdr:row>
      <xdr:rowOff>170519</xdr:rowOff>
    </xdr:from>
    <xdr:to>
      <xdr:col>10</xdr:col>
      <xdr:colOff>116952</xdr:colOff>
      <xdr:row>8</xdr:row>
      <xdr:rowOff>17318</xdr:rowOff>
    </xdr:to>
    <xdr:sp macro="" textlink="">
      <xdr:nvSpPr>
        <xdr:cNvPr id="11" name="Rectangle 184"/>
        <xdr:cNvSpPr>
          <a:spLocks noChangeArrowheads="1"/>
        </xdr:cNvSpPr>
      </xdr:nvSpPr>
      <xdr:spPr bwMode="auto">
        <a:xfrm>
          <a:off x="5908152" y="932519"/>
          <a:ext cx="1828800" cy="608799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2</xdr:col>
      <xdr:colOff>82496</xdr:colOff>
      <xdr:row>4</xdr:row>
      <xdr:rowOff>25977</xdr:rowOff>
    </xdr:from>
    <xdr:to>
      <xdr:col>3</xdr:col>
      <xdr:colOff>290555</xdr:colOff>
      <xdr:row>36</xdr:row>
      <xdr:rowOff>69273</xdr:rowOff>
    </xdr:to>
    <xdr:sp macro="" textlink="">
      <xdr:nvSpPr>
        <xdr:cNvPr id="12" name="Rectangle 301"/>
        <xdr:cNvSpPr>
          <a:spLocks noChangeArrowheads="1"/>
        </xdr:cNvSpPr>
      </xdr:nvSpPr>
      <xdr:spPr bwMode="auto">
        <a:xfrm>
          <a:off x="1606496" y="787977"/>
          <a:ext cx="970059" cy="6139296"/>
        </a:xfrm>
        <a:prstGeom prst="rect">
          <a:avLst/>
        </a:prstGeom>
        <a:noFill/>
        <a:ln w="31750" algn="ctr">
          <a:solidFill>
            <a:schemeClr val="tx2">
              <a:lumMod val="60000"/>
              <a:lumOff val="40000"/>
            </a:schemeClr>
          </a:solidFill>
          <a:miter lim="800000"/>
          <a:headEnd/>
          <a:tailEnd/>
        </a:ln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5</xdr:col>
      <xdr:colOff>10356</xdr:colOff>
      <xdr:row>28</xdr:row>
      <xdr:rowOff>67200</xdr:rowOff>
    </xdr:from>
    <xdr:to>
      <xdr:col>5</xdr:col>
      <xdr:colOff>570133</xdr:colOff>
      <xdr:row>29</xdr:row>
      <xdr:rowOff>75137</xdr:rowOff>
    </xdr:to>
    <xdr:sp macro="[0]!Hoja2.BACK81_BackEnd_Institucionales_RRHH_Click" textlink="">
      <xdr:nvSpPr>
        <xdr:cNvPr id="13" name="BACK81"/>
        <xdr:cNvSpPr>
          <a:spLocks noChangeArrowheads="1"/>
        </xdr:cNvSpPr>
      </xdr:nvSpPr>
      <xdr:spPr bwMode="auto">
        <a:xfrm>
          <a:off x="3820356" y="5401200"/>
          <a:ext cx="559777" cy="198437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RRHH</a:t>
          </a:r>
        </a:p>
      </xdr:txBody>
    </xdr:sp>
    <xdr:clientData/>
  </xdr:twoCellAnchor>
  <xdr:twoCellAnchor>
    <xdr:from>
      <xdr:col>5</xdr:col>
      <xdr:colOff>665004</xdr:colOff>
      <xdr:row>28</xdr:row>
      <xdr:rowOff>67200</xdr:rowOff>
    </xdr:from>
    <xdr:to>
      <xdr:col>6</xdr:col>
      <xdr:colOff>464246</xdr:colOff>
      <xdr:row>29</xdr:row>
      <xdr:rowOff>75137</xdr:rowOff>
    </xdr:to>
    <xdr:sp macro="[0]!Hoja2.BACK82_BackEnd_Institucionales_ServiciosGenerales_Click" textlink="">
      <xdr:nvSpPr>
        <xdr:cNvPr id="14" name="BACK82"/>
        <xdr:cNvSpPr>
          <a:spLocks noChangeArrowheads="1"/>
        </xdr:cNvSpPr>
      </xdr:nvSpPr>
      <xdr:spPr bwMode="auto">
        <a:xfrm>
          <a:off x="4475004" y="5401200"/>
          <a:ext cx="561242" cy="198437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SERVICIOS GENERALES</a:t>
          </a:r>
        </a:p>
      </xdr:txBody>
    </xdr:sp>
    <xdr:clientData/>
  </xdr:twoCellAnchor>
  <xdr:twoCellAnchor>
    <xdr:from>
      <xdr:col>7</xdr:col>
      <xdr:colOff>470597</xdr:colOff>
      <xdr:row>28</xdr:row>
      <xdr:rowOff>67200</xdr:rowOff>
    </xdr:from>
    <xdr:to>
      <xdr:col>8</xdr:col>
      <xdr:colOff>269840</xdr:colOff>
      <xdr:row>29</xdr:row>
      <xdr:rowOff>75137</xdr:rowOff>
    </xdr:to>
    <xdr:sp macro="[0]!Hoja2.BACK84_BackEnd_Institucionales_ControlPresupuestario_Click" textlink="">
      <xdr:nvSpPr>
        <xdr:cNvPr id="15" name="BACK84"/>
        <xdr:cNvSpPr>
          <a:spLocks noChangeArrowheads="1"/>
        </xdr:cNvSpPr>
      </xdr:nvSpPr>
      <xdr:spPr bwMode="auto">
        <a:xfrm>
          <a:off x="5804597" y="5401200"/>
          <a:ext cx="561243" cy="198437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CONTROL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PRESUPUESTO</a:t>
          </a:r>
        </a:p>
      </xdr:txBody>
    </xdr:sp>
    <xdr:clientData/>
  </xdr:twoCellAnchor>
  <xdr:twoCellAnchor>
    <xdr:from>
      <xdr:col>8</xdr:col>
      <xdr:colOff>380612</xdr:colOff>
      <xdr:row>28</xdr:row>
      <xdr:rowOff>67200</xdr:rowOff>
    </xdr:from>
    <xdr:to>
      <xdr:col>9</xdr:col>
      <xdr:colOff>181320</xdr:colOff>
      <xdr:row>29</xdr:row>
      <xdr:rowOff>75137</xdr:rowOff>
    </xdr:to>
    <xdr:sp macro="[0]!Hoja2.BACK85_BackEnd_Institucionales_ControlRemesas_Click" textlink="">
      <xdr:nvSpPr>
        <xdr:cNvPr id="16" name="BACK85"/>
        <xdr:cNvSpPr>
          <a:spLocks noChangeArrowheads="1"/>
        </xdr:cNvSpPr>
      </xdr:nvSpPr>
      <xdr:spPr bwMode="auto">
        <a:xfrm>
          <a:off x="6476612" y="5401200"/>
          <a:ext cx="562708" cy="198437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CONTROL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REMESAS</a:t>
          </a:r>
        </a:p>
      </xdr:txBody>
    </xdr:sp>
    <xdr:clientData/>
  </xdr:twoCellAnchor>
  <xdr:twoCellAnchor>
    <xdr:from>
      <xdr:col>4</xdr:col>
      <xdr:colOff>746007</xdr:colOff>
      <xdr:row>9</xdr:row>
      <xdr:rowOff>97954</xdr:rowOff>
    </xdr:from>
    <xdr:to>
      <xdr:col>5</xdr:col>
      <xdr:colOff>543784</xdr:colOff>
      <xdr:row>10</xdr:row>
      <xdr:rowOff>109066</xdr:rowOff>
    </xdr:to>
    <xdr:sp macro="[0]!Hoja2.BACK31_BackEnd_CashManagement_Pagos_Click" textlink="">
      <xdr:nvSpPr>
        <xdr:cNvPr id="17" name="BACK31"/>
        <xdr:cNvSpPr>
          <a:spLocks noChangeArrowheads="1"/>
        </xdr:cNvSpPr>
      </xdr:nvSpPr>
      <xdr:spPr bwMode="auto">
        <a:xfrm>
          <a:off x="3794007" y="1812454"/>
          <a:ext cx="559777" cy="20161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PAGOS</a:t>
          </a:r>
        </a:p>
      </xdr:txBody>
    </xdr:sp>
    <xdr:clientData/>
  </xdr:twoCellAnchor>
  <xdr:twoCellAnchor>
    <xdr:from>
      <xdr:col>5</xdr:col>
      <xdr:colOff>626714</xdr:colOff>
      <xdr:row>9</xdr:row>
      <xdr:rowOff>97954</xdr:rowOff>
    </xdr:from>
    <xdr:to>
      <xdr:col>6</xdr:col>
      <xdr:colOff>424491</xdr:colOff>
      <xdr:row>10</xdr:row>
      <xdr:rowOff>109066</xdr:rowOff>
    </xdr:to>
    <xdr:sp macro="[0]!Hoja2.BACK33_BackEnd_CashManagement_Pac_Click" textlink="">
      <xdr:nvSpPr>
        <xdr:cNvPr id="18" name="BACK33"/>
        <xdr:cNvSpPr>
          <a:spLocks noChangeArrowheads="1"/>
        </xdr:cNvSpPr>
      </xdr:nvSpPr>
      <xdr:spPr bwMode="auto">
        <a:xfrm>
          <a:off x="4436714" y="1812454"/>
          <a:ext cx="559777" cy="20161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PAC</a:t>
          </a:r>
        </a:p>
      </xdr:txBody>
    </xdr:sp>
    <xdr:clientData/>
  </xdr:twoCellAnchor>
  <xdr:twoCellAnchor>
    <xdr:from>
      <xdr:col>6</xdr:col>
      <xdr:colOff>506798</xdr:colOff>
      <xdr:row>9</xdr:row>
      <xdr:rowOff>97955</xdr:rowOff>
    </xdr:from>
    <xdr:to>
      <xdr:col>7</xdr:col>
      <xdr:colOff>306040</xdr:colOff>
      <xdr:row>10</xdr:row>
      <xdr:rowOff>107480</xdr:rowOff>
    </xdr:to>
    <xdr:sp macro="[0]!Hoja2.BACK35_BackEnd_CashManagement_Recaudaciones_Click" textlink="">
      <xdr:nvSpPr>
        <xdr:cNvPr id="19" name="BACK35"/>
        <xdr:cNvSpPr>
          <a:spLocks noChangeArrowheads="1"/>
        </xdr:cNvSpPr>
      </xdr:nvSpPr>
      <xdr:spPr bwMode="auto">
        <a:xfrm>
          <a:off x="5078798" y="1812455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RECAUDACIONES</a:t>
          </a:r>
        </a:p>
      </xdr:txBody>
    </xdr:sp>
    <xdr:clientData/>
  </xdr:twoCellAnchor>
  <xdr:twoCellAnchor>
    <xdr:from>
      <xdr:col>4</xdr:col>
      <xdr:colOff>713298</xdr:colOff>
      <xdr:row>10</xdr:row>
      <xdr:rowOff>161455</xdr:rowOff>
    </xdr:from>
    <xdr:to>
      <xdr:col>5</xdr:col>
      <xdr:colOff>567638</xdr:colOff>
      <xdr:row>11</xdr:row>
      <xdr:rowOff>170980</xdr:rowOff>
    </xdr:to>
    <xdr:sp macro="[0]!Hoja2.BACK32_BackEnd_CashManagement_Remuneraciones_Click" textlink="">
      <xdr:nvSpPr>
        <xdr:cNvPr id="20" name="BACK32"/>
        <xdr:cNvSpPr>
          <a:spLocks noChangeArrowheads="1"/>
        </xdr:cNvSpPr>
      </xdr:nvSpPr>
      <xdr:spPr bwMode="auto">
        <a:xfrm>
          <a:off x="3761298" y="2066455"/>
          <a:ext cx="616340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REMUNERACIONES</a:t>
          </a:r>
        </a:p>
      </xdr:txBody>
    </xdr:sp>
    <xdr:clientData/>
  </xdr:twoCellAnchor>
  <xdr:twoCellAnchor>
    <xdr:from>
      <xdr:col>5</xdr:col>
      <xdr:colOff>629645</xdr:colOff>
      <xdr:row>10</xdr:row>
      <xdr:rowOff>161455</xdr:rowOff>
    </xdr:from>
    <xdr:to>
      <xdr:col>6</xdr:col>
      <xdr:colOff>428888</xdr:colOff>
      <xdr:row>11</xdr:row>
      <xdr:rowOff>170980</xdr:rowOff>
    </xdr:to>
    <xdr:sp macro="[0]!Hoja2.BACK34_BackEnd_CashManagement_Cobranzas_Click" textlink="">
      <xdr:nvSpPr>
        <xdr:cNvPr id="21" name="BACK34"/>
        <xdr:cNvSpPr>
          <a:spLocks noChangeArrowheads="1"/>
        </xdr:cNvSpPr>
      </xdr:nvSpPr>
      <xdr:spPr bwMode="auto">
        <a:xfrm>
          <a:off x="4439645" y="2066455"/>
          <a:ext cx="561243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COBRANZAS</a:t>
          </a:r>
        </a:p>
      </xdr:txBody>
    </xdr:sp>
    <xdr:clientData/>
  </xdr:twoCellAnchor>
  <xdr:twoCellAnchor>
    <xdr:from>
      <xdr:col>6</xdr:col>
      <xdr:colOff>508263</xdr:colOff>
      <xdr:row>10</xdr:row>
      <xdr:rowOff>161455</xdr:rowOff>
    </xdr:from>
    <xdr:to>
      <xdr:col>7</xdr:col>
      <xdr:colOff>306040</xdr:colOff>
      <xdr:row>11</xdr:row>
      <xdr:rowOff>170980</xdr:rowOff>
    </xdr:to>
    <xdr:sp macro="[0]!Hoja2.BACK36_BackEnd_CashManagement_PAP_Click" textlink="">
      <xdr:nvSpPr>
        <xdr:cNvPr id="22" name="BACK36"/>
        <xdr:cNvSpPr>
          <a:spLocks noChangeArrowheads="1"/>
        </xdr:cNvSpPr>
      </xdr:nvSpPr>
      <xdr:spPr bwMode="auto">
        <a:xfrm>
          <a:off x="5080263" y="2066455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PAP</a:t>
          </a:r>
        </a:p>
      </xdr:txBody>
    </xdr:sp>
    <xdr:clientData/>
  </xdr:twoCellAnchor>
  <xdr:twoCellAnchor>
    <xdr:from>
      <xdr:col>7</xdr:col>
      <xdr:colOff>594503</xdr:colOff>
      <xdr:row>9</xdr:row>
      <xdr:rowOff>85241</xdr:rowOff>
    </xdr:from>
    <xdr:to>
      <xdr:col>8</xdr:col>
      <xdr:colOff>395211</xdr:colOff>
      <xdr:row>10</xdr:row>
      <xdr:rowOff>94766</xdr:rowOff>
    </xdr:to>
    <xdr:sp macro="[0]!Hoja2.BACK41_BackEnd_Tesoreria_Derivados_Click" textlink="">
      <xdr:nvSpPr>
        <xdr:cNvPr id="23" name="BACK41"/>
        <xdr:cNvSpPr>
          <a:spLocks noChangeArrowheads="1"/>
        </xdr:cNvSpPr>
      </xdr:nvSpPr>
      <xdr:spPr bwMode="auto">
        <a:xfrm>
          <a:off x="5928503" y="1799741"/>
          <a:ext cx="562708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SWAPS</a:t>
          </a:r>
        </a:p>
      </xdr:txBody>
    </xdr:sp>
    <xdr:clientData/>
  </xdr:twoCellAnchor>
  <xdr:twoCellAnchor>
    <xdr:from>
      <xdr:col>7</xdr:col>
      <xdr:colOff>595969</xdr:colOff>
      <xdr:row>10</xdr:row>
      <xdr:rowOff>153504</xdr:rowOff>
    </xdr:from>
    <xdr:to>
      <xdr:col>8</xdr:col>
      <xdr:colOff>395211</xdr:colOff>
      <xdr:row>11</xdr:row>
      <xdr:rowOff>163029</xdr:rowOff>
    </xdr:to>
    <xdr:sp macro="[0]!Hoja2.BACK42_BackEnd_Tesoreria_CVD_Click" textlink="">
      <xdr:nvSpPr>
        <xdr:cNvPr id="24" name="BACK42"/>
        <xdr:cNvSpPr>
          <a:spLocks noChangeArrowheads="1"/>
        </xdr:cNvSpPr>
      </xdr:nvSpPr>
      <xdr:spPr bwMode="auto">
        <a:xfrm>
          <a:off x="5929969" y="2058504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COMPRA VENTA DE DIVISAS</a:t>
          </a:r>
        </a:p>
      </xdr:txBody>
    </xdr:sp>
    <xdr:clientData/>
  </xdr:twoCellAnchor>
  <xdr:twoCellAnchor>
    <xdr:from>
      <xdr:col>8</xdr:col>
      <xdr:colOff>493013</xdr:colOff>
      <xdr:row>9</xdr:row>
      <xdr:rowOff>85241</xdr:rowOff>
    </xdr:from>
    <xdr:to>
      <xdr:col>9</xdr:col>
      <xdr:colOff>290790</xdr:colOff>
      <xdr:row>10</xdr:row>
      <xdr:rowOff>94766</xdr:rowOff>
    </xdr:to>
    <xdr:sp macro="[0]!Hoja2.BACK43_BackEnd_Tesoreria_Forwards_Click" textlink="">
      <xdr:nvSpPr>
        <xdr:cNvPr id="25" name="BACK43"/>
        <xdr:cNvSpPr>
          <a:spLocks noChangeArrowheads="1"/>
        </xdr:cNvSpPr>
      </xdr:nvSpPr>
      <xdr:spPr bwMode="auto">
        <a:xfrm>
          <a:off x="6589013" y="1799741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FORWARDS</a:t>
          </a:r>
        </a:p>
      </xdr:txBody>
    </xdr:sp>
    <xdr:clientData/>
  </xdr:twoCellAnchor>
  <xdr:twoCellAnchor>
    <xdr:from>
      <xdr:col>8</xdr:col>
      <xdr:colOff>493013</xdr:colOff>
      <xdr:row>10</xdr:row>
      <xdr:rowOff>153504</xdr:rowOff>
    </xdr:from>
    <xdr:to>
      <xdr:col>9</xdr:col>
      <xdr:colOff>290790</xdr:colOff>
      <xdr:row>11</xdr:row>
      <xdr:rowOff>163029</xdr:rowOff>
    </xdr:to>
    <xdr:sp macro="[0]!Hoja2.BACK44_BackEnd_Tesoreria_RentaFija_Click" textlink="">
      <xdr:nvSpPr>
        <xdr:cNvPr id="26" name="BACK44"/>
        <xdr:cNvSpPr>
          <a:spLocks noChangeArrowheads="1"/>
        </xdr:cNvSpPr>
      </xdr:nvSpPr>
      <xdr:spPr bwMode="auto">
        <a:xfrm>
          <a:off x="6589013" y="2058504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RENTA FIJA</a:t>
          </a:r>
        </a:p>
      </xdr:txBody>
    </xdr:sp>
    <xdr:clientData/>
  </xdr:twoCellAnchor>
  <xdr:twoCellAnchor>
    <xdr:from>
      <xdr:col>9</xdr:col>
      <xdr:colOff>390057</xdr:colOff>
      <xdr:row>9</xdr:row>
      <xdr:rowOff>85241</xdr:rowOff>
    </xdr:from>
    <xdr:to>
      <xdr:col>10</xdr:col>
      <xdr:colOff>116030</xdr:colOff>
      <xdr:row>10</xdr:row>
      <xdr:rowOff>94766</xdr:rowOff>
    </xdr:to>
    <xdr:sp macro="[0]!Hoja2.BACK45_BackEnd_Tesoreria_Opciones_Click" textlink="">
      <xdr:nvSpPr>
        <xdr:cNvPr id="27" name="BACK45"/>
        <xdr:cNvSpPr>
          <a:spLocks noChangeArrowheads="1"/>
        </xdr:cNvSpPr>
      </xdr:nvSpPr>
      <xdr:spPr bwMode="auto">
        <a:xfrm>
          <a:off x="7248057" y="1799741"/>
          <a:ext cx="487973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OPCIONES</a:t>
          </a:r>
        </a:p>
      </xdr:txBody>
    </xdr:sp>
    <xdr:clientData/>
  </xdr:twoCellAnchor>
  <xdr:twoCellAnchor>
    <xdr:from>
      <xdr:col>8</xdr:col>
      <xdr:colOff>187123</xdr:colOff>
      <xdr:row>21</xdr:row>
      <xdr:rowOff>130252</xdr:rowOff>
    </xdr:from>
    <xdr:to>
      <xdr:col>8</xdr:col>
      <xdr:colOff>746900</xdr:colOff>
      <xdr:row>22</xdr:row>
      <xdr:rowOff>128416</xdr:rowOff>
    </xdr:to>
    <xdr:sp macro="[0]!Hoja2.BACK64_BackEnd_Riesgo_PosicionDeCambio_Click" textlink="">
      <xdr:nvSpPr>
        <xdr:cNvPr id="28" name="BACK64"/>
        <xdr:cNvSpPr>
          <a:spLocks noChangeArrowheads="1"/>
        </xdr:cNvSpPr>
      </xdr:nvSpPr>
      <xdr:spPr bwMode="auto">
        <a:xfrm>
          <a:off x="6283123" y="4130752"/>
          <a:ext cx="559777" cy="188664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POSICIÓN DE CAMBIO (VAR)</a:t>
          </a:r>
        </a:p>
      </xdr:txBody>
    </xdr:sp>
    <xdr:clientData/>
  </xdr:twoCellAnchor>
  <xdr:twoCellAnchor>
    <xdr:from>
      <xdr:col>5</xdr:col>
      <xdr:colOff>23328</xdr:colOff>
      <xdr:row>14</xdr:row>
      <xdr:rowOff>153790</xdr:rowOff>
    </xdr:from>
    <xdr:to>
      <xdr:col>5</xdr:col>
      <xdr:colOff>583105</xdr:colOff>
      <xdr:row>15</xdr:row>
      <xdr:rowOff>163315</xdr:rowOff>
    </xdr:to>
    <xdr:sp macro="[0]!Hoja2.BACK51_BackEnd_Servicios_Contabilidad_Click" textlink="">
      <xdr:nvSpPr>
        <xdr:cNvPr id="29" name="BACK51"/>
        <xdr:cNvSpPr>
          <a:spLocks noChangeArrowheads="1"/>
        </xdr:cNvSpPr>
      </xdr:nvSpPr>
      <xdr:spPr bwMode="auto">
        <a:xfrm>
          <a:off x="3833328" y="2820790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CONTABILIDAD</a:t>
          </a:r>
        </a:p>
      </xdr:txBody>
    </xdr:sp>
    <xdr:clientData/>
  </xdr:twoCellAnchor>
  <xdr:twoCellAnchor>
    <xdr:from>
      <xdr:col>5</xdr:col>
      <xdr:colOff>695343</xdr:colOff>
      <xdr:row>14</xdr:row>
      <xdr:rowOff>153790</xdr:rowOff>
    </xdr:from>
    <xdr:to>
      <xdr:col>6</xdr:col>
      <xdr:colOff>494586</xdr:colOff>
      <xdr:row>15</xdr:row>
      <xdr:rowOff>163315</xdr:rowOff>
    </xdr:to>
    <xdr:sp macro="[0]!Hoja2.BACK55_BackEnd_Servicios_Garantias_Click" textlink="">
      <xdr:nvSpPr>
        <xdr:cNvPr id="30" name="BACK55"/>
        <xdr:cNvSpPr>
          <a:spLocks noChangeArrowheads="1"/>
        </xdr:cNvSpPr>
      </xdr:nvSpPr>
      <xdr:spPr bwMode="auto">
        <a:xfrm>
          <a:off x="4505343" y="2820790"/>
          <a:ext cx="561243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GARANTÍAS</a:t>
          </a:r>
        </a:p>
      </xdr:txBody>
    </xdr:sp>
    <xdr:clientData/>
  </xdr:twoCellAnchor>
  <xdr:twoCellAnchor>
    <xdr:from>
      <xdr:col>7</xdr:col>
      <xdr:colOff>209104</xdr:colOff>
      <xdr:row>21</xdr:row>
      <xdr:rowOff>130252</xdr:rowOff>
    </xdr:from>
    <xdr:to>
      <xdr:col>8</xdr:col>
      <xdr:colOff>8347</xdr:colOff>
      <xdr:row>22</xdr:row>
      <xdr:rowOff>128416</xdr:rowOff>
    </xdr:to>
    <xdr:sp macro="[0]!Hoja2.BACK63_BackEnd_Riesgo_Limites_Click" textlink="">
      <xdr:nvSpPr>
        <xdr:cNvPr id="31" name="BACK63"/>
        <xdr:cNvSpPr>
          <a:spLocks noChangeArrowheads="1"/>
        </xdr:cNvSpPr>
      </xdr:nvSpPr>
      <xdr:spPr bwMode="auto">
        <a:xfrm>
          <a:off x="5543104" y="4130752"/>
          <a:ext cx="561243" cy="188664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LÍMITES</a:t>
          </a:r>
        </a:p>
      </xdr:txBody>
    </xdr:sp>
    <xdr:clientData/>
  </xdr:twoCellAnchor>
  <xdr:twoCellAnchor>
    <xdr:from>
      <xdr:col>7</xdr:col>
      <xdr:colOff>518303</xdr:colOff>
      <xdr:row>14</xdr:row>
      <xdr:rowOff>153790</xdr:rowOff>
    </xdr:from>
    <xdr:to>
      <xdr:col>8</xdr:col>
      <xdr:colOff>317546</xdr:colOff>
      <xdr:row>15</xdr:row>
      <xdr:rowOff>163315</xdr:rowOff>
    </xdr:to>
    <xdr:sp macro="[0]!Hoja2.BACK513_BackEnd_Servicios_Convenios_Click" textlink="">
      <xdr:nvSpPr>
        <xdr:cNvPr id="32" name="BACK513"/>
        <xdr:cNvSpPr>
          <a:spLocks noChangeArrowheads="1"/>
        </xdr:cNvSpPr>
      </xdr:nvSpPr>
      <xdr:spPr bwMode="auto">
        <a:xfrm>
          <a:off x="5852303" y="2820790"/>
          <a:ext cx="561243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CONVENIOS</a:t>
          </a:r>
        </a:p>
      </xdr:txBody>
    </xdr:sp>
    <xdr:clientData/>
  </xdr:twoCellAnchor>
  <xdr:twoCellAnchor>
    <xdr:from>
      <xdr:col>8</xdr:col>
      <xdr:colOff>429784</xdr:colOff>
      <xdr:row>14</xdr:row>
      <xdr:rowOff>153790</xdr:rowOff>
    </xdr:from>
    <xdr:to>
      <xdr:col>9</xdr:col>
      <xdr:colOff>229026</xdr:colOff>
      <xdr:row>15</xdr:row>
      <xdr:rowOff>163315</xdr:rowOff>
    </xdr:to>
    <xdr:sp macro="[0]!Hoja2.BACK516_BackEnd_Servicios_ConciliacionContable_Click" textlink="">
      <xdr:nvSpPr>
        <xdr:cNvPr id="33" name="BACK516"/>
        <xdr:cNvSpPr>
          <a:spLocks noChangeArrowheads="1"/>
        </xdr:cNvSpPr>
      </xdr:nvSpPr>
      <xdr:spPr bwMode="auto">
        <a:xfrm>
          <a:off x="6525784" y="2820790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CONCILIACIÓN CONTABLE</a:t>
          </a:r>
        </a:p>
      </xdr:txBody>
    </xdr:sp>
    <xdr:clientData/>
  </xdr:twoCellAnchor>
  <xdr:twoCellAnchor>
    <xdr:from>
      <xdr:col>5</xdr:col>
      <xdr:colOff>23328</xdr:colOff>
      <xdr:row>16</xdr:row>
      <xdr:rowOff>31552</xdr:rowOff>
    </xdr:from>
    <xdr:to>
      <xdr:col>5</xdr:col>
      <xdr:colOff>583105</xdr:colOff>
      <xdr:row>17</xdr:row>
      <xdr:rowOff>41077</xdr:rowOff>
    </xdr:to>
    <xdr:sp macro="[0]!Hoja2.BACK52_BackEnd_Servicios_EnviosClientes_Click" textlink="">
      <xdr:nvSpPr>
        <xdr:cNvPr id="34" name="BACK52"/>
        <xdr:cNvSpPr>
          <a:spLocks noChangeArrowheads="1"/>
        </xdr:cNvSpPr>
      </xdr:nvSpPr>
      <xdr:spPr bwMode="auto">
        <a:xfrm>
          <a:off x="3833328" y="3079552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ENVÍOS CLIENTES</a:t>
          </a:r>
        </a:p>
      </xdr:txBody>
    </xdr:sp>
    <xdr:clientData/>
  </xdr:twoCellAnchor>
  <xdr:twoCellAnchor>
    <xdr:from>
      <xdr:col>5</xdr:col>
      <xdr:colOff>693877</xdr:colOff>
      <xdr:row>16</xdr:row>
      <xdr:rowOff>31552</xdr:rowOff>
    </xdr:from>
    <xdr:to>
      <xdr:col>6</xdr:col>
      <xdr:colOff>494585</xdr:colOff>
      <xdr:row>17</xdr:row>
      <xdr:rowOff>41077</xdr:rowOff>
    </xdr:to>
    <xdr:sp macro="[0]!Hoja2.BACK56_BackEnd_Servicios_Cobranding_Click" textlink="">
      <xdr:nvSpPr>
        <xdr:cNvPr id="35" name="BACK56"/>
        <xdr:cNvSpPr>
          <a:spLocks noChangeArrowheads="1"/>
        </xdr:cNvSpPr>
      </xdr:nvSpPr>
      <xdr:spPr bwMode="auto">
        <a:xfrm>
          <a:off x="4503877" y="3079552"/>
          <a:ext cx="562708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COBRANDING</a:t>
          </a:r>
        </a:p>
      </xdr:txBody>
    </xdr:sp>
    <xdr:clientData/>
  </xdr:twoCellAnchor>
  <xdr:twoCellAnchor>
    <xdr:from>
      <xdr:col>6</xdr:col>
      <xdr:colOff>598872</xdr:colOff>
      <xdr:row>16</xdr:row>
      <xdr:rowOff>31552</xdr:rowOff>
    </xdr:from>
    <xdr:to>
      <xdr:col>7</xdr:col>
      <xdr:colOff>398114</xdr:colOff>
      <xdr:row>17</xdr:row>
      <xdr:rowOff>41077</xdr:rowOff>
    </xdr:to>
    <xdr:sp macro="[0]!Hoja2.BACK510_BackEnd_Servicios_Tasaciones_Click" textlink="">
      <xdr:nvSpPr>
        <xdr:cNvPr id="36" name="BACK510"/>
        <xdr:cNvSpPr>
          <a:spLocks noChangeArrowheads="1"/>
        </xdr:cNvSpPr>
      </xdr:nvSpPr>
      <xdr:spPr bwMode="auto">
        <a:xfrm>
          <a:off x="5170872" y="3079552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TASACIONES</a:t>
          </a:r>
        </a:p>
      </xdr:txBody>
    </xdr:sp>
    <xdr:clientData/>
  </xdr:twoCellAnchor>
  <xdr:twoCellAnchor>
    <xdr:from>
      <xdr:col>7</xdr:col>
      <xdr:colOff>516838</xdr:colOff>
      <xdr:row>16</xdr:row>
      <xdr:rowOff>31552</xdr:rowOff>
    </xdr:from>
    <xdr:to>
      <xdr:col>8</xdr:col>
      <xdr:colOff>317546</xdr:colOff>
      <xdr:row>17</xdr:row>
      <xdr:rowOff>41077</xdr:rowOff>
    </xdr:to>
    <xdr:sp macro="[0]!Hoja2.BACK514_BackEnd_Servicios_SWIFT_Click" textlink="">
      <xdr:nvSpPr>
        <xdr:cNvPr id="37" name="BACK514"/>
        <xdr:cNvSpPr>
          <a:spLocks noChangeArrowheads="1"/>
        </xdr:cNvSpPr>
      </xdr:nvSpPr>
      <xdr:spPr bwMode="auto">
        <a:xfrm>
          <a:off x="5850838" y="3079552"/>
          <a:ext cx="562708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SWIFT</a:t>
          </a:r>
        </a:p>
      </xdr:txBody>
    </xdr:sp>
    <xdr:clientData/>
  </xdr:twoCellAnchor>
  <xdr:twoCellAnchor>
    <xdr:from>
      <xdr:col>8</xdr:col>
      <xdr:colOff>429784</xdr:colOff>
      <xdr:row>16</xdr:row>
      <xdr:rowOff>31552</xdr:rowOff>
    </xdr:from>
    <xdr:to>
      <xdr:col>9</xdr:col>
      <xdr:colOff>229026</xdr:colOff>
      <xdr:row>17</xdr:row>
      <xdr:rowOff>41077</xdr:rowOff>
    </xdr:to>
    <xdr:sp macro="[0]!Hoja2.BACK517_BackEnd_Servicios_SGT_Click" textlink="">
      <xdr:nvSpPr>
        <xdr:cNvPr id="38" name="BACK517"/>
        <xdr:cNvSpPr>
          <a:spLocks noChangeArrowheads="1"/>
        </xdr:cNvSpPr>
      </xdr:nvSpPr>
      <xdr:spPr bwMode="auto">
        <a:xfrm>
          <a:off x="6525784" y="3079552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SGT</a:t>
          </a:r>
        </a:p>
      </xdr:txBody>
    </xdr:sp>
    <xdr:clientData/>
  </xdr:twoCellAnchor>
  <xdr:twoCellAnchor>
    <xdr:from>
      <xdr:col>9</xdr:col>
      <xdr:colOff>341264</xdr:colOff>
      <xdr:row>16</xdr:row>
      <xdr:rowOff>31552</xdr:rowOff>
    </xdr:from>
    <xdr:to>
      <xdr:col>10</xdr:col>
      <xdr:colOff>140507</xdr:colOff>
      <xdr:row>17</xdr:row>
      <xdr:rowOff>41077</xdr:rowOff>
    </xdr:to>
    <xdr:sp macro="[0]!Hoja2.BACK520_BackEnd_Servicios_Facturacion_Click" textlink="">
      <xdr:nvSpPr>
        <xdr:cNvPr id="39" name="BACK520"/>
        <xdr:cNvSpPr>
          <a:spLocks noChangeArrowheads="1"/>
        </xdr:cNvSpPr>
      </xdr:nvSpPr>
      <xdr:spPr bwMode="auto">
        <a:xfrm>
          <a:off x="7199264" y="3079552"/>
          <a:ext cx="561243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FACTURACIÓN</a:t>
          </a:r>
        </a:p>
      </xdr:txBody>
    </xdr:sp>
    <xdr:clientData/>
  </xdr:twoCellAnchor>
  <xdr:twoCellAnchor>
    <xdr:from>
      <xdr:col>5</xdr:col>
      <xdr:colOff>10356</xdr:colOff>
      <xdr:row>24</xdr:row>
      <xdr:rowOff>82618</xdr:rowOff>
    </xdr:from>
    <xdr:to>
      <xdr:col>5</xdr:col>
      <xdr:colOff>570133</xdr:colOff>
      <xdr:row>25</xdr:row>
      <xdr:rowOff>92143</xdr:rowOff>
    </xdr:to>
    <xdr:sp macro="[0]!Hoja2.BACK71_BackEnd_Clientes_CIF_Click" textlink="">
      <xdr:nvSpPr>
        <xdr:cNvPr id="40" name="BACK71"/>
        <xdr:cNvSpPr>
          <a:spLocks noChangeArrowheads="1"/>
        </xdr:cNvSpPr>
      </xdr:nvSpPr>
      <xdr:spPr bwMode="auto">
        <a:xfrm>
          <a:off x="3820356" y="4654618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CIF</a:t>
          </a:r>
        </a:p>
      </xdr:txBody>
    </xdr:sp>
    <xdr:clientData/>
  </xdr:twoCellAnchor>
  <xdr:twoCellAnchor>
    <xdr:from>
      <xdr:col>5</xdr:col>
      <xdr:colOff>657053</xdr:colOff>
      <xdr:row>24</xdr:row>
      <xdr:rowOff>74667</xdr:rowOff>
    </xdr:from>
    <xdr:to>
      <xdr:col>6</xdr:col>
      <xdr:colOff>469459</xdr:colOff>
      <xdr:row>25</xdr:row>
      <xdr:rowOff>84192</xdr:rowOff>
    </xdr:to>
    <xdr:sp macro="[0]!Hoja2.BACK73_BackEnd_Clientes_Fiscalia_Click" textlink="">
      <xdr:nvSpPr>
        <xdr:cNvPr id="41" name="BACK73"/>
        <xdr:cNvSpPr>
          <a:spLocks noChangeArrowheads="1"/>
        </xdr:cNvSpPr>
      </xdr:nvSpPr>
      <xdr:spPr bwMode="auto">
        <a:xfrm>
          <a:off x="4467053" y="4646667"/>
          <a:ext cx="574406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FISCALÍA</a:t>
          </a:r>
        </a:p>
      </xdr:txBody>
    </xdr:sp>
    <xdr:clientData/>
  </xdr:twoCellAnchor>
  <xdr:twoCellAnchor>
    <xdr:from>
      <xdr:col>6</xdr:col>
      <xdr:colOff>573554</xdr:colOff>
      <xdr:row>24</xdr:row>
      <xdr:rowOff>66716</xdr:rowOff>
    </xdr:from>
    <xdr:to>
      <xdr:col>7</xdr:col>
      <xdr:colOff>372797</xdr:colOff>
      <xdr:row>25</xdr:row>
      <xdr:rowOff>76241</xdr:rowOff>
    </xdr:to>
    <xdr:sp macro="[0]!Hoja2.BACK75_BackEnd_Clientes_PoderesYFirmas_Click" textlink="">
      <xdr:nvSpPr>
        <xdr:cNvPr id="42" name="BACK75"/>
        <xdr:cNvSpPr>
          <a:spLocks noChangeArrowheads="1"/>
        </xdr:cNvSpPr>
      </xdr:nvSpPr>
      <xdr:spPr bwMode="auto">
        <a:xfrm>
          <a:off x="5145554" y="4638716"/>
          <a:ext cx="561243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PODERES Y FIRMAS</a:t>
          </a:r>
        </a:p>
      </xdr:txBody>
    </xdr:sp>
    <xdr:clientData/>
  </xdr:twoCellAnchor>
  <xdr:twoCellAnchor>
    <xdr:from>
      <xdr:col>7</xdr:col>
      <xdr:colOff>478548</xdr:colOff>
      <xdr:row>24</xdr:row>
      <xdr:rowOff>66716</xdr:rowOff>
    </xdr:from>
    <xdr:to>
      <xdr:col>8</xdr:col>
      <xdr:colOff>279256</xdr:colOff>
      <xdr:row>25</xdr:row>
      <xdr:rowOff>76241</xdr:rowOff>
    </xdr:to>
    <xdr:sp macro="[0]!Hoja2.BACK77_BackEnd_Clientes_Mandatos_Click" textlink="">
      <xdr:nvSpPr>
        <xdr:cNvPr id="43" name="BACK77"/>
        <xdr:cNvSpPr>
          <a:spLocks noChangeArrowheads="1"/>
        </xdr:cNvSpPr>
      </xdr:nvSpPr>
      <xdr:spPr bwMode="auto">
        <a:xfrm>
          <a:off x="5812548" y="4638716"/>
          <a:ext cx="562708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MANDATOS</a:t>
          </a:r>
        </a:p>
      </xdr:txBody>
    </xdr:sp>
    <xdr:clientData/>
  </xdr:twoCellAnchor>
  <xdr:twoCellAnchor>
    <xdr:from>
      <xdr:col>8</xdr:col>
      <xdr:colOff>390029</xdr:colOff>
      <xdr:row>24</xdr:row>
      <xdr:rowOff>66716</xdr:rowOff>
    </xdr:from>
    <xdr:to>
      <xdr:col>9</xdr:col>
      <xdr:colOff>189271</xdr:colOff>
      <xdr:row>25</xdr:row>
      <xdr:rowOff>76241</xdr:rowOff>
    </xdr:to>
    <xdr:sp macro="[0]!Hoja2.BACK79_BackEnd_Clientes_PrevencioFraude_Click" textlink="">
      <xdr:nvSpPr>
        <xdr:cNvPr id="44" name="BACK79"/>
        <xdr:cNvSpPr>
          <a:spLocks noChangeArrowheads="1"/>
        </xdr:cNvSpPr>
      </xdr:nvSpPr>
      <xdr:spPr bwMode="auto">
        <a:xfrm>
          <a:off x="6486029" y="4638716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PREVENCIÓN FRAUDE</a:t>
          </a:r>
        </a:p>
      </xdr:txBody>
    </xdr:sp>
    <xdr:clientData/>
  </xdr:twoCellAnchor>
  <xdr:twoCellAnchor>
    <xdr:from>
      <xdr:col>9</xdr:col>
      <xdr:colOff>293558</xdr:colOff>
      <xdr:row>24</xdr:row>
      <xdr:rowOff>66716</xdr:rowOff>
    </xdr:from>
    <xdr:to>
      <xdr:col>10</xdr:col>
      <xdr:colOff>92801</xdr:colOff>
      <xdr:row>25</xdr:row>
      <xdr:rowOff>76241</xdr:rowOff>
    </xdr:to>
    <xdr:sp macro="[0]!Hoja2.BACK711_BackEnd_Clientes_Preaprobados_Click" textlink="">
      <xdr:nvSpPr>
        <xdr:cNvPr id="45" name="BACK711"/>
        <xdr:cNvSpPr>
          <a:spLocks noChangeArrowheads="1"/>
        </xdr:cNvSpPr>
      </xdr:nvSpPr>
      <xdr:spPr bwMode="auto">
        <a:xfrm>
          <a:off x="7151558" y="4638716"/>
          <a:ext cx="561243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PREAPROBADOS</a:t>
          </a:r>
        </a:p>
      </xdr:txBody>
    </xdr:sp>
    <xdr:clientData/>
  </xdr:twoCellAnchor>
  <xdr:twoCellAnchor>
    <xdr:from>
      <xdr:col>5</xdr:col>
      <xdr:colOff>10356</xdr:colOff>
      <xdr:row>25</xdr:row>
      <xdr:rowOff>158962</xdr:rowOff>
    </xdr:from>
    <xdr:to>
      <xdr:col>5</xdr:col>
      <xdr:colOff>570133</xdr:colOff>
      <xdr:row>26</xdr:row>
      <xdr:rowOff>170074</xdr:rowOff>
    </xdr:to>
    <xdr:sp macro="[0]!Hoja2.BACK72_BackEnd_Clientes_Campagnas_Click" textlink="">
      <xdr:nvSpPr>
        <xdr:cNvPr id="46" name="BACK72"/>
        <xdr:cNvSpPr>
          <a:spLocks noChangeArrowheads="1"/>
        </xdr:cNvSpPr>
      </xdr:nvSpPr>
      <xdr:spPr bwMode="auto">
        <a:xfrm>
          <a:off x="3820356" y="4921462"/>
          <a:ext cx="559777" cy="201612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CAMPAÑAS</a:t>
          </a:r>
        </a:p>
      </xdr:txBody>
    </xdr:sp>
    <xdr:clientData/>
  </xdr:twoCellAnchor>
  <xdr:twoCellAnchor>
    <xdr:from>
      <xdr:col>5</xdr:col>
      <xdr:colOff>657053</xdr:colOff>
      <xdr:row>25</xdr:row>
      <xdr:rowOff>151011</xdr:rowOff>
    </xdr:from>
    <xdr:to>
      <xdr:col>6</xdr:col>
      <xdr:colOff>477411</xdr:colOff>
      <xdr:row>26</xdr:row>
      <xdr:rowOff>162123</xdr:rowOff>
    </xdr:to>
    <xdr:sp macro="[0]!Hoja2.BACK74_BackEnd_Clientes_Requerimientos_Click" textlink="">
      <xdr:nvSpPr>
        <xdr:cNvPr id="47" name="BACK74"/>
        <xdr:cNvSpPr>
          <a:spLocks noChangeArrowheads="1"/>
        </xdr:cNvSpPr>
      </xdr:nvSpPr>
      <xdr:spPr bwMode="auto">
        <a:xfrm>
          <a:off x="4467053" y="4913511"/>
          <a:ext cx="582358" cy="20161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REQUERIMIENTOS</a:t>
          </a:r>
        </a:p>
      </xdr:txBody>
    </xdr:sp>
    <xdr:clientData/>
  </xdr:twoCellAnchor>
  <xdr:twoCellAnchor>
    <xdr:from>
      <xdr:col>6</xdr:col>
      <xdr:colOff>576484</xdr:colOff>
      <xdr:row>25</xdr:row>
      <xdr:rowOff>143060</xdr:rowOff>
    </xdr:from>
    <xdr:to>
      <xdr:col>7</xdr:col>
      <xdr:colOff>375727</xdr:colOff>
      <xdr:row>26</xdr:row>
      <xdr:rowOff>154172</xdr:rowOff>
    </xdr:to>
    <xdr:sp macro="[0]!Hoja2.BACK76_BackEnd_Clientes_ApoyoALaVenta_Click" textlink="">
      <xdr:nvSpPr>
        <xdr:cNvPr id="48" name="BACK76"/>
        <xdr:cNvSpPr>
          <a:spLocks noChangeArrowheads="1"/>
        </xdr:cNvSpPr>
      </xdr:nvSpPr>
      <xdr:spPr bwMode="auto">
        <a:xfrm>
          <a:off x="5148484" y="4905560"/>
          <a:ext cx="561243" cy="20161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APOYO A LA 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VENTA</a:t>
          </a:r>
        </a:p>
      </xdr:txBody>
    </xdr:sp>
    <xdr:clientData/>
  </xdr:twoCellAnchor>
  <xdr:twoCellAnchor>
    <xdr:from>
      <xdr:col>7</xdr:col>
      <xdr:colOff>480014</xdr:colOff>
      <xdr:row>25</xdr:row>
      <xdr:rowOff>143060</xdr:rowOff>
    </xdr:from>
    <xdr:to>
      <xdr:col>8</xdr:col>
      <xdr:colOff>279256</xdr:colOff>
      <xdr:row>26</xdr:row>
      <xdr:rowOff>154172</xdr:rowOff>
    </xdr:to>
    <xdr:sp macro="[0]!Hoja2.BACK78_BackEnd_Clientes_Avales_Click" textlink="">
      <xdr:nvSpPr>
        <xdr:cNvPr id="49" name="BACK78"/>
        <xdr:cNvSpPr>
          <a:spLocks noChangeArrowheads="1"/>
        </xdr:cNvSpPr>
      </xdr:nvSpPr>
      <xdr:spPr bwMode="auto">
        <a:xfrm>
          <a:off x="5814014" y="4905560"/>
          <a:ext cx="561242" cy="20161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AVALES</a:t>
          </a:r>
        </a:p>
      </xdr:txBody>
    </xdr:sp>
    <xdr:clientData/>
  </xdr:twoCellAnchor>
  <xdr:twoCellAnchor>
    <xdr:from>
      <xdr:col>8</xdr:col>
      <xdr:colOff>391494</xdr:colOff>
      <xdr:row>25</xdr:row>
      <xdr:rowOff>143060</xdr:rowOff>
    </xdr:from>
    <xdr:to>
      <xdr:col>9</xdr:col>
      <xdr:colOff>190737</xdr:colOff>
      <xdr:row>26</xdr:row>
      <xdr:rowOff>154172</xdr:rowOff>
    </xdr:to>
    <xdr:sp macro="[0]!Hoja2.BACK710_BackEnd_Clientes_AML_Click" textlink="">
      <xdr:nvSpPr>
        <xdr:cNvPr id="50" name="BACK710"/>
        <xdr:cNvSpPr>
          <a:spLocks noChangeArrowheads="1"/>
        </xdr:cNvSpPr>
      </xdr:nvSpPr>
      <xdr:spPr bwMode="auto">
        <a:xfrm>
          <a:off x="6487494" y="4905560"/>
          <a:ext cx="561243" cy="20161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AML</a:t>
          </a:r>
        </a:p>
      </xdr:txBody>
    </xdr:sp>
    <xdr:clientData/>
  </xdr:twoCellAnchor>
  <xdr:twoCellAnchor>
    <xdr:from>
      <xdr:col>9</xdr:col>
      <xdr:colOff>295024</xdr:colOff>
      <xdr:row>25</xdr:row>
      <xdr:rowOff>143060</xdr:rowOff>
    </xdr:from>
    <xdr:to>
      <xdr:col>10</xdr:col>
      <xdr:colOff>92801</xdr:colOff>
      <xdr:row>26</xdr:row>
      <xdr:rowOff>154172</xdr:rowOff>
    </xdr:to>
    <xdr:sp macro="[0]!Hoja2.BACK712_BackEnd_Clientes_Seguridad_Click" textlink="">
      <xdr:nvSpPr>
        <xdr:cNvPr id="51" name="BACK712"/>
        <xdr:cNvSpPr>
          <a:spLocks noChangeArrowheads="1"/>
        </xdr:cNvSpPr>
      </xdr:nvSpPr>
      <xdr:spPr bwMode="auto">
        <a:xfrm>
          <a:off x="7153024" y="4905560"/>
          <a:ext cx="559777" cy="201612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SEGURIDAD</a:t>
          </a:r>
        </a:p>
      </xdr:txBody>
    </xdr:sp>
    <xdr:clientData/>
  </xdr:twoCellAnchor>
  <xdr:twoCellAnchor>
    <xdr:from>
      <xdr:col>5</xdr:col>
      <xdr:colOff>23328</xdr:colOff>
      <xdr:row>17</xdr:row>
      <xdr:rowOff>101402</xdr:rowOff>
    </xdr:from>
    <xdr:to>
      <xdr:col>5</xdr:col>
      <xdr:colOff>583105</xdr:colOff>
      <xdr:row>18</xdr:row>
      <xdr:rowOff>110927</xdr:rowOff>
    </xdr:to>
    <xdr:sp macro="[0]!Hoja2.BACK53_BackEnd_Servicios_Tarificacion_Click" textlink="">
      <xdr:nvSpPr>
        <xdr:cNvPr id="52" name="BACK53"/>
        <xdr:cNvSpPr>
          <a:spLocks noChangeArrowheads="1"/>
        </xdr:cNvSpPr>
      </xdr:nvSpPr>
      <xdr:spPr bwMode="auto">
        <a:xfrm>
          <a:off x="3833328" y="3339902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TARIFICACIÓN</a:t>
          </a:r>
        </a:p>
      </xdr:txBody>
    </xdr:sp>
    <xdr:clientData/>
  </xdr:twoCellAnchor>
  <xdr:twoCellAnchor>
    <xdr:from>
      <xdr:col>5</xdr:col>
      <xdr:colOff>695343</xdr:colOff>
      <xdr:row>17</xdr:row>
      <xdr:rowOff>101402</xdr:rowOff>
    </xdr:from>
    <xdr:to>
      <xdr:col>6</xdr:col>
      <xdr:colOff>494586</xdr:colOff>
      <xdr:row>18</xdr:row>
      <xdr:rowOff>110927</xdr:rowOff>
    </xdr:to>
    <xdr:sp macro="[0]!Hoja2.BACK57_BackEnd_Servicios_Impuestos_Click" textlink="">
      <xdr:nvSpPr>
        <xdr:cNvPr id="53" name="BACK57"/>
        <xdr:cNvSpPr>
          <a:spLocks noChangeArrowheads="1"/>
        </xdr:cNvSpPr>
      </xdr:nvSpPr>
      <xdr:spPr bwMode="auto">
        <a:xfrm>
          <a:off x="4505343" y="3339902"/>
          <a:ext cx="561243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IMPUESTOS</a:t>
          </a:r>
        </a:p>
      </xdr:txBody>
    </xdr:sp>
    <xdr:clientData/>
  </xdr:twoCellAnchor>
  <xdr:twoCellAnchor>
    <xdr:from>
      <xdr:col>6</xdr:col>
      <xdr:colOff>235481</xdr:colOff>
      <xdr:row>21</xdr:row>
      <xdr:rowOff>130252</xdr:rowOff>
    </xdr:from>
    <xdr:to>
      <xdr:col>7</xdr:col>
      <xdr:colOff>34724</xdr:colOff>
      <xdr:row>22</xdr:row>
      <xdr:rowOff>128416</xdr:rowOff>
    </xdr:to>
    <xdr:sp macro="[0]!Hoja2.BACK62_BackEnd_Riesgo_RecuperacionCobranza_Click" textlink="">
      <xdr:nvSpPr>
        <xdr:cNvPr id="54" name="BACK62"/>
        <xdr:cNvSpPr>
          <a:spLocks noChangeArrowheads="1"/>
        </xdr:cNvSpPr>
      </xdr:nvSpPr>
      <xdr:spPr bwMode="auto">
        <a:xfrm>
          <a:off x="4807481" y="4130752"/>
          <a:ext cx="561243" cy="188664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RECUPERACIÓN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&amp;COBRANZA</a:t>
          </a:r>
        </a:p>
      </xdr:txBody>
    </xdr:sp>
    <xdr:clientData/>
  </xdr:twoCellAnchor>
  <xdr:twoCellAnchor>
    <xdr:from>
      <xdr:col>9</xdr:col>
      <xdr:colOff>344195</xdr:colOff>
      <xdr:row>17</xdr:row>
      <xdr:rowOff>88702</xdr:rowOff>
    </xdr:from>
    <xdr:to>
      <xdr:col>10</xdr:col>
      <xdr:colOff>141972</xdr:colOff>
      <xdr:row>18</xdr:row>
      <xdr:rowOff>99815</xdr:rowOff>
    </xdr:to>
    <xdr:sp macro="[0]!Hoja2.BACK521_BackEnd_Servicios_Castigos_Click" textlink="">
      <xdr:nvSpPr>
        <xdr:cNvPr id="55" name="BACK521"/>
        <xdr:cNvSpPr>
          <a:spLocks noChangeArrowheads="1"/>
        </xdr:cNvSpPr>
      </xdr:nvSpPr>
      <xdr:spPr bwMode="auto">
        <a:xfrm>
          <a:off x="7202195" y="3327202"/>
          <a:ext cx="559777" cy="201613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CASTIGOS</a:t>
          </a:r>
        </a:p>
      </xdr:txBody>
    </xdr:sp>
    <xdr:clientData/>
  </xdr:twoCellAnchor>
  <xdr:twoCellAnchor>
    <xdr:from>
      <xdr:col>7</xdr:col>
      <xdr:colOff>518303</xdr:colOff>
      <xdr:row>17</xdr:row>
      <xdr:rowOff>101402</xdr:rowOff>
    </xdr:from>
    <xdr:to>
      <xdr:col>8</xdr:col>
      <xdr:colOff>317546</xdr:colOff>
      <xdr:row>18</xdr:row>
      <xdr:rowOff>110927</xdr:rowOff>
    </xdr:to>
    <xdr:sp macro="[0]!Hoja2.BACK515_BackEnd_Servicios_OrganismosExternos_Click" textlink="">
      <xdr:nvSpPr>
        <xdr:cNvPr id="56" name="BACK515"/>
        <xdr:cNvSpPr>
          <a:spLocks noChangeArrowheads="1"/>
        </xdr:cNvSpPr>
      </xdr:nvSpPr>
      <xdr:spPr bwMode="auto">
        <a:xfrm>
          <a:off x="5852303" y="3339902"/>
          <a:ext cx="561243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ORGANISMOS EXTERNOS</a:t>
          </a:r>
        </a:p>
      </xdr:txBody>
    </xdr:sp>
    <xdr:clientData/>
  </xdr:twoCellAnchor>
  <xdr:twoCellAnchor>
    <xdr:from>
      <xdr:col>8</xdr:col>
      <xdr:colOff>429784</xdr:colOff>
      <xdr:row>17</xdr:row>
      <xdr:rowOff>101402</xdr:rowOff>
    </xdr:from>
    <xdr:to>
      <xdr:col>9</xdr:col>
      <xdr:colOff>229026</xdr:colOff>
      <xdr:row>18</xdr:row>
      <xdr:rowOff>110927</xdr:rowOff>
    </xdr:to>
    <xdr:sp macro="[0]!Hoja2.BACK518_BackEnd_Servicios_ControlDeValorados_Click" textlink="">
      <xdr:nvSpPr>
        <xdr:cNvPr id="57" name="BACK518"/>
        <xdr:cNvSpPr>
          <a:spLocks noChangeArrowheads="1"/>
        </xdr:cNvSpPr>
      </xdr:nvSpPr>
      <xdr:spPr bwMode="auto">
        <a:xfrm>
          <a:off x="6525784" y="3339902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CONTROL DE VALORADOS</a:t>
          </a:r>
        </a:p>
      </xdr:txBody>
    </xdr:sp>
    <xdr:clientData/>
  </xdr:twoCellAnchor>
  <xdr:twoCellAnchor>
    <xdr:from>
      <xdr:col>4</xdr:col>
      <xdr:colOff>546322</xdr:colOff>
      <xdr:row>4</xdr:row>
      <xdr:rowOff>49738</xdr:rowOff>
    </xdr:from>
    <xdr:to>
      <xdr:col>10</xdr:col>
      <xdr:colOff>275322</xdr:colOff>
      <xdr:row>30</xdr:row>
      <xdr:rowOff>69273</xdr:rowOff>
    </xdr:to>
    <xdr:sp macro="" textlink="">
      <xdr:nvSpPr>
        <xdr:cNvPr id="58" name="Rectangle 298"/>
        <xdr:cNvSpPr>
          <a:spLocks noChangeArrowheads="1"/>
        </xdr:cNvSpPr>
      </xdr:nvSpPr>
      <xdr:spPr bwMode="auto">
        <a:xfrm>
          <a:off x="3594322" y="811738"/>
          <a:ext cx="4301000" cy="4972535"/>
        </a:xfrm>
        <a:prstGeom prst="rect">
          <a:avLst/>
        </a:prstGeom>
        <a:noFill/>
        <a:ln w="31750" algn="ctr">
          <a:solidFill>
            <a:schemeClr val="tx2">
              <a:lumMod val="60000"/>
              <a:lumOff val="40000"/>
            </a:schemeClr>
          </a:solidFill>
          <a:miter lim="800000"/>
          <a:headEnd/>
          <a:tailEnd/>
        </a:ln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6</xdr:col>
      <xdr:colOff>328767</xdr:colOff>
      <xdr:row>3</xdr:row>
      <xdr:rowOff>155856</xdr:rowOff>
    </xdr:from>
    <xdr:to>
      <xdr:col>7</xdr:col>
      <xdr:colOff>435740</xdr:colOff>
      <xdr:row>4</xdr:row>
      <xdr:rowOff>82020</xdr:rowOff>
    </xdr:to>
    <xdr:sp macro="" textlink="">
      <xdr:nvSpPr>
        <xdr:cNvPr id="59" name="BACK"/>
        <xdr:cNvSpPr txBox="1">
          <a:spLocks noChangeArrowheads="1"/>
        </xdr:cNvSpPr>
      </xdr:nvSpPr>
      <xdr:spPr bwMode="auto">
        <a:xfrm>
          <a:off x="4900767" y="727356"/>
          <a:ext cx="868973" cy="116664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solidFill>
                <a:schemeClr val="bg1"/>
              </a:solidFill>
              <a:effectLst/>
              <a:latin typeface="Calibri" pitchFamily="34" charset="0"/>
              <a:cs typeface="Arial"/>
            </a:rPr>
            <a:t>BACK END</a:t>
          </a:r>
          <a:endParaRPr lang="es-ES" sz="800" b="1" kern="0">
            <a:solidFill>
              <a:schemeClr val="bg1"/>
            </a:solidFill>
            <a:effectLst/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330477</xdr:colOff>
      <xdr:row>3</xdr:row>
      <xdr:rowOff>158202</xdr:rowOff>
    </xdr:from>
    <xdr:to>
      <xdr:col>3</xdr:col>
      <xdr:colOff>21280</xdr:colOff>
      <xdr:row>4</xdr:row>
      <xdr:rowOff>84366</xdr:rowOff>
    </xdr:to>
    <xdr:sp macro="" textlink="">
      <xdr:nvSpPr>
        <xdr:cNvPr id="60" name="CANA"/>
        <xdr:cNvSpPr txBox="1">
          <a:spLocks noChangeArrowheads="1"/>
        </xdr:cNvSpPr>
      </xdr:nvSpPr>
      <xdr:spPr bwMode="auto">
        <a:xfrm>
          <a:off x="1854477" y="729702"/>
          <a:ext cx="452803" cy="116664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solidFill>
                <a:schemeClr val="bg1"/>
              </a:solidFill>
              <a:effectLst/>
              <a:latin typeface="Calibri" pitchFamily="34" charset="0"/>
              <a:cs typeface="Arial"/>
            </a:rPr>
            <a:t>CANALES</a:t>
          </a:r>
          <a:endParaRPr lang="es-ES" sz="800" b="1" kern="0">
            <a:solidFill>
              <a:schemeClr val="bg1"/>
            </a:solidFill>
            <a:effectLst/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12</xdr:col>
      <xdr:colOff>18445</xdr:colOff>
      <xdr:row>3</xdr:row>
      <xdr:rowOff>152826</xdr:rowOff>
    </xdr:from>
    <xdr:to>
      <xdr:col>12</xdr:col>
      <xdr:colOff>436080</xdr:colOff>
      <xdr:row>4</xdr:row>
      <xdr:rowOff>78990</xdr:rowOff>
    </xdr:to>
    <xdr:sp macro="" textlink="">
      <xdr:nvSpPr>
        <xdr:cNvPr id="61" name="GEST"/>
        <xdr:cNvSpPr txBox="1">
          <a:spLocks noChangeArrowheads="1"/>
        </xdr:cNvSpPr>
      </xdr:nvSpPr>
      <xdr:spPr bwMode="auto">
        <a:xfrm>
          <a:off x="9162445" y="724326"/>
          <a:ext cx="417635" cy="116664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solidFill>
                <a:schemeClr val="bg1"/>
              </a:solidFill>
              <a:effectLst/>
              <a:latin typeface="Calibri" pitchFamily="34" charset="0"/>
              <a:cs typeface="Arial"/>
            </a:rPr>
            <a:t>GESTION</a:t>
          </a:r>
          <a:endParaRPr lang="es-ES" sz="800" b="1" kern="0">
            <a:solidFill>
              <a:schemeClr val="bg1"/>
            </a:solidFill>
            <a:effectLst/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5</xdr:col>
      <xdr:colOff>23328</xdr:colOff>
      <xdr:row>18</xdr:row>
      <xdr:rowOff>169665</xdr:rowOff>
    </xdr:from>
    <xdr:to>
      <xdr:col>5</xdr:col>
      <xdr:colOff>583105</xdr:colOff>
      <xdr:row>19</xdr:row>
      <xdr:rowOff>179190</xdr:rowOff>
    </xdr:to>
    <xdr:sp macro="[0]!Hoja2.BACK54_BackEnd_Servicios_CustodiaValoresDCC_Click" textlink="">
      <xdr:nvSpPr>
        <xdr:cNvPr id="62" name="BACK54"/>
        <xdr:cNvSpPr>
          <a:spLocks noChangeArrowheads="1"/>
        </xdr:cNvSpPr>
      </xdr:nvSpPr>
      <xdr:spPr bwMode="auto">
        <a:xfrm>
          <a:off x="3833328" y="3598665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CUSTODIA VALORES DCC</a:t>
          </a:r>
        </a:p>
      </xdr:txBody>
    </xdr:sp>
    <xdr:clientData/>
  </xdr:twoCellAnchor>
  <xdr:twoCellAnchor>
    <xdr:from>
      <xdr:col>5</xdr:col>
      <xdr:colOff>696808</xdr:colOff>
      <xdr:row>18</xdr:row>
      <xdr:rowOff>169665</xdr:rowOff>
    </xdr:from>
    <xdr:to>
      <xdr:col>6</xdr:col>
      <xdr:colOff>496050</xdr:colOff>
      <xdr:row>19</xdr:row>
      <xdr:rowOff>179190</xdr:rowOff>
    </xdr:to>
    <xdr:sp macro="[0]!Hoja2.BACK58_BackEnd_Servicios_TransferenciasDeFondos_Click" textlink="">
      <xdr:nvSpPr>
        <xdr:cNvPr id="63" name="BACK58"/>
        <xdr:cNvSpPr>
          <a:spLocks noChangeArrowheads="1"/>
        </xdr:cNvSpPr>
      </xdr:nvSpPr>
      <xdr:spPr bwMode="auto">
        <a:xfrm>
          <a:off x="4506808" y="3598665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TRANSFERENCIAS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FONDOS</a:t>
          </a:r>
        </a:p>
      </xdr:txBody>
    </xdr:sp>
    <xdr:clientData/>
  </xdr:twoCellAnchor>
  <xdr:twoCellAnchor>
    <xdr:from>
      <xdr:col>6</xdr:col>
      <xdr:colOff>598872</xdr:colOff>
      <xdr:row>17</xdr:row>
      <xdr:rowOff>101402</xdr:rowOff>
    </xdr:from>
    <xdr:to>
      <xdr:col>7</xdr:col>
      <xdr:colOff>398114</xdr:colOff>
      <xdr:row>18</xdr:row>
      <xdr:rowOff>110927</xdr:rowOff>
    </xdr:to>
    <xdr:sp macro="[0]!Hoja2.BACK511_BackEnd_Servicios_Canje_Click" textlink="">
      <xdr:nvSpPr>
        <xdr:cNvPr id="64" name="BACK511"/>
        <xdr:cNvSpPr>
          <a:spLocks noChangeArrowheads="1"/>
        </xdr:cNvSpPr>
      </xdr:nvSpPr>
      <xdr:spPr bwMode="auto">
        <a:xfrm>
          <a:off x="5170872" y="3339902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CANJE</a:t>
          </a:r>
        </a:p>
      </xdr:txBody>
    </xdr:sp>
    <xdr:clientData/>
  </xdr:twoCellAnchor>
  <xdr:twoCellAnchor>
    <xdr:from>
      <xdr:col>5</xdr:col>
      <xdr:colOff>261858</xdr:colOff>
      <xdr:row>21</xdr:row>
      <xdr:rowOff>130252</xdr:rowOff>
    </xdr:from>
    <xdr:to>
      <xdr:col>6</xdr:col>
      <xdr:colOff>59635</xdr:colOff>
      <xdr:row>22</xdr:row>
      <xdr:rowOff>128416</xdr:rowOff>
    </xdr:to>
    <xdr:sp macro="[0]!Hoja2.BACK61_BackEnd_Riesgo_RiesgoCredito_Click" textlink="">
      <xdr:nvSpPr>
        <xdr:cNvPr id="65" name="BACK61"/>
        <xdr:cNvSpPr>
          <a:spLocks noChangeArrowheads="1"/>
        </xdr:cNvSpPr>
      </xdr:nvSpPr>
      <xdr:spPr bwMode="auto">
        <a:xfrm>
          <a:off x="4071858" y="4130752"/>
          <a:ext cx="559777" cy="188664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RIESGO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CRÉDITO</a:t>
          </a:r>
        </a:p>
      </xdr:txBody>
    </xdr:sp>
    <xdr:clientData/>
  </xdr:twoCellAnchor>
  <xdr:twoCellAnchor>
    <xdr:from>
      <xdr:col>9</xdr:col>
      <xdr:colOff>341264</xdr:colOff>
      <xdr:row>14</xdr:row>
      <xdr:rowOff>153790</xdr:rowOff>
    </xdr:from>
    <xdr:to>
      <xdr:col>10</xdr:col>
      <xdr:colOff>139041</xdr:colOff>
      <xdr:row>15</xdr:row>
      <xdr:rowOff>163315</xdr:rowOff>
    </xdr:to>
    <xdr:sp macro="[0]!Hoja2.BACK519_BackEnd_Servicios_ControlDeSoportes_Click" textlink="">
      <xdr:nvSpPr>
        <xdr:cNvPr id="66" name="BACK519"/>
        <xdr:cNvSpPr>
          <a:spLocks noChangeArrowheads="1"/>
        </xdr:cNvSpPr>
      </xdr:nvSpPr>
      <xdr:spPr bwMode="auto">
        <a:xfrm>
          <a:off x="7199264" y="2820790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CONTROL DE SOPORTES</a:t>
          </a:r>
        </a:p>
      </xdr:txBody>
    </xdr:sp>
    <xdr:clientData/>
  </xdr:twoCellAnchor>
  <xdr:twoCellAnchor>
    <xdr:from>
      <xdr:col>9</xdr:col>
      <xdr:colOff>293558</xdr:colOff>
      <xdr:row>28</xdr:row>
      <xdr:rowOff>57674</xdr:rowOff>
    </xdr:from>
    <xdr:to>
      <xdr:col>10</xdr:col>
      <xdr:colOff>92801</xdr:colOff>
      <xdr:row>29</xdr:row>
      <xdr:rowOff>68786</xdr:rowOff>
    </xdr:to>
    <xdr:sp macro="[0]!Hoja2.BACK86_BackEnd_Institucionales_Acciones_Click" textlink="">
      <xdr:nvSpPr>
        <xdr:cNvPr id="67" name="BACK86"/>
        <xdr:cNvSpPr>
          <a:spLocks noChangeArrowheads="1"/>
        </xdr:cNvSpPr>
      </xdr:nvSpPr>
      <xdr:spPr bwMode="auto">
        <a:xfrm>
          <a:off x="7151558" y="5391674"/>
          <a:ext cx="561243" cy="20161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ACCIONES</a:t>
          </a:r>
        </a:p>
      </xdr:txBody>
    </xdr:sp>
    <xdr:clientData/>
  </xdr:twoCellAnchor>
  <xdr:twoCellAnchor>
    <xdr:from>
      <xdr:col>6</xdr:col>
      <xdr:colOff>598872</xdr:colOff>
      <xdr:row>14</xdr:row>
      <xdr:rowOff>153790</xdr:rowOff>
    </xdr:from>
    <xdr:to>
      <xdr:col>7</xdr:col>
      <xdr:colOff>398114</xdr:colOff>
      <xdr:row>15</xdr:row>
      <xdr:rowOff>163315</xdr:rowOff>
    </xdr:to>
    <xdr:sp macro="[0]!Hoja2.BACK59_BackEnd_Servicios_Seguros_Click" textlink="">
      <xdr:nvSpPr>
        <xdr:cNvPr id="68" name="BACK59"/>
        <xdr:cNvSpPr>
          <a:spLocks noChangeArrowheads="1"/>
        </xdr:cNvSpPr>
      </xdr:nvSpPr>
      <xdr:spPr bwMode="auto">
        <a:xfrm>
          <a:off x="5170872" y="2820790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SEGUROS</a:t>
          </a:r>
        </a:p>
      </xdr:txBody>
    </xdr:sp>
    <xdr:clientData/>
  </xdr:twoCellAnchor>
  <xdr:twoCellAnchor>
    <xdr:from>
      <xdr:col>4</xdr:col>
      <xdr:colOff>737432</xdr:colOff>
      <xdr:row>5</xdr:row>
      <xdr:rowOff>88087</xdr:rowOff>
    </xdr:from>
    <xdr:to>
      <xdr:col>5</xdr:col>
      <xdr:colOff>535209</xdr:colOff>
      <xdr:row>6</xdr:row>
      <xdr:rowOff>97612</xdr:rowOff>
    </xdr:to>
    <xdr:sp macro="[0]!Hoja2.BACK11_BackEnd_Activos_Credito_Click" textlink="">
      <xdr:nvSpPr>
        <xdr:cNvPr id="69" name="BACK11"/>
        <xdr:cNvSpPr>
          <a:spLocks noChangeArrowheads="1"/>
        </xdr:cNvSpPr>
      </xdr:nvSpPr>
      <xdr:spPr bwMode="auto">
        <a:xfrm>
          <a:off x="3785432" y="1040587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CRÉDITOS</a:t>
          </a:r>
        </a:p>
      </xdr:txBody>
    </xdr:sp>
    <xdr:clientData/>
  </xdr:twoCellAnchor>
  <xdr:twoCellAnchor>
    <xdr:from>
      <xdr:col>5</xdr:col>
      <xdr:colOff>627773</xdr:colOff>
      <xdr:row>5</xdr:row>
      <xdr:rowOff>88087</xdr:rowOff>
    </xdr:from>
    <xdr:to>
      <xdr:col>6</xdr:col>
      <xdr:colOff>425550</xdr:colOff>
      <xdr:row>6</xdr:row>
      <xdr:rowOff>97612</xdr:rowOff>
    </xdr:to>
    <xdr:sp macro="[0]!Hoja2.BACK13_BackEnd_Activos_LineaDeCredito_Click" textlink="">
      <xdr:nvSpPr>
        <xdr:cNvPr id="70" name="BACK13"/>
        <xdr:cNvSpPr>
          <a:spLocks noChangeArrowheads="1"/>
        </xdr:cNvSpPr>
      </xdr:nvSpPr>
      <xdr:spPr bwMode="auto">
        <a:xfrm>
          <a:off x="4437773" y="1040587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LÍNEA DE CRÉDITO</a:t>
          </a:r>
        </a:p>
      </xdr:txBody>
    </xdr:sp>
    <xdr:clientData/>
  </xdr:twoCellAnchor>
  <xdr:twoCellAnchor>
    <xdr:from>
      <xdr:col>6</xdr:col>
      <xdr:colOff>527530</xdr:colOff>
      <xdr:row>5</xdr:row>
      <xdr:rowOff>88087</xdr:rowOff>
    </xdr:from>
    <xdr:to>
      <xdr:col>7</xdr:col>
      <xdr:colOff>325307</xdr:colOff>
      <xdr:row>6</xdr:row>
      <xdr:rowOff>97612</xdr:rowOff>
    </xdr:to>
    <xdr:sp macro="[0]!Hoja2.BACK15_BackEnd_Activos_TarjetasDeCredito_Click" textlink="">
      <xdr:nvSpPr>
        <xdr:cNvPr id="71" name="BACK15"/>
        <xdr:cNvSpPr>
          <a:spLocks noChangeArrowheads="1"/>
        </xdr:cNvSpPr>
      </xdr:nvSpPr>
      <xdr:spPr bwMode="auto">
        <a:xfrm>
          <a:off x="5099530" y="1040587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TARJETAS DE CRÉDITO</a:t>
          </a:r>
        </a:p>
      </xdr:txBody>
    </xdr:sp>
    <xdr:clientData/>
  </xdr:twoCellAnchor>
  <xdr:twoCellAnchor>
    <xdr:from>
      <xdr:col>4</xdr:col>
      <xdr:colOff>737432</xdr:colOff>
      <xdr:row>6</xdr:row>
      <xdr:rowOff>139058</xdr:rowOff>
    </xdr:from>
    <xdr:to>
      <xdr:col>5</xdr:col>
      <xdr:colOff>535209</xdr:colOff>
      <xdr:row>7</xdr:row>
      <xdr:rowOff>148583</xdr:rowOff>
    </xdr:to>
    <xdr:sp macro="[0]!Hoja2.BACK12_BackEnd_Activos_Comex_Click" textlink="">
      <xdr:nvSpPr>
        <xdr:cNvPr id="72" name="BACK12"/>
        <xdr:cNvSpPr>
          <a:spLocks noChangeArrowheads="1"/>
        </xdr:cNvSpPr>
      </xdr:nvSpPr>
      <xdr:spPr bwMode="auto">
        <a:xfrm>
          <a:off x="3785432" y="1282058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COMEX</a:t>
          </a:r>
        </a:p>
      </xdr:txBody>
    </xdr:sp>
    <xdr:clientData/>
  </xdr:twoCellAnchor>
  <xdr:twoCellAnchor>
    <xdr:from>
      <xdr:col>5</xdr:col>
      <xdr:colOff>635100</xdr:colOff>
      <xdr:row>6</xdr:row>
      <xdr:rowOff>139058</xdr:rowOff>
    </xdr:from>
    <xdr:to>
      <xdr:col>6</xdr:col>
      <xdr:colOff>432877</xdr:colOff>
      <xdr:row>7</xdr:row>
      <xdr:rowOff>148583</xdr:rowOff>
    </xdr:to>
    <xdr:sp macro="[0]!Hoja2.BACK14_BackEnd_Activos_Leasing_Click" textlink="">
      <xdr:nvSpPr>
        <xdr:cNvPr id="73" name="BACK14"/>
        <xdr:cNvSpPr>
          <a:spLocks noChangeArrowheads="1"/>
        </xdr:cNvSpPr>
      </xdr:nvSpPr>
      <xdr:spPr bwMode="auto">
        <a:xfrm>
          <a:off x="4445100" y="1282058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LEASING</a:t>
          </a:r>
        </a:p>
      </xdr:txBody>
    </xdr:sp>
    <xdr:clientData/>
  </xdr:twoCellAnchor>
  <xdr:twoCellAnchor>
    <xdr:from>
      <xdr:col>6</xdr:col>
      <xdr:colOff>527530</xdr:colOff>
      <xdr:row>6</xdr:row>
      <xdr:rowOff>139058</xdr:rowOff>
    </xdr:from>
    <xdr:to>
      <xdr:col>7</xdr:col>
      <xdr:colOff>325307</xdr:colOff>
      <xdr:row>7</xdr:row>
      <xdr:rowOff>148583</xdr:rowOff>
    </xdr:to>
    <xdr:sp macro="[0]!Hoja2.BACK16_BackEnd_Activos_Factoring_Click" textlink="">
      <xdr:nvSpPr>
        <xdr:cNvPr id="74" name="BACK16"/>
        <xdr:cNvSpPr>
          <a:spLocks noChangeArrowheads="1"/>
        </xdr:cNvSpPr>
      </xdr:nvSpPr>
      <xdr:spPr bwMode="auto">
        <a:xfrm>
          <a:off x="5099530" y="1282058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FACTORING</a:t>
          </a:r>
        </a:p>
      </xdr:txBody>
    </xdr:sp>
    <xdr:clientData/>
  </xdr:twoCellAnchor>
  <xdr:twoCellAnchor>
    <xdr:from>
      <xdr:col>4</xdr:col>
      <xdr:colOff>612361</xdr:colOff>
      <xdr:row>4</xdr:row>
      <xdr:rowOff>100199</xdr:rowOff>
    </xdr:from>
    <xdr:to>
      <xdr:col>5</xdr:col>
      <xdr:colOff>520041</xdr:colOff>
      <xdr:row>5</xdr:row>
      <xdr:rowOff>26363</xdr:rowOff>
    </xdr:to>
    <xdr:sp macro="" textlink="">
      <xdr:nvSpPr>
        <xdr:cNvPr id="75" name="BACK1"/>
        <xdr:cNvSpPr txBox="1">
          <a:spLocks noChangeArrowheads="1"/>
        </xdr:cNvSpPr>
      </xdr:nvSpPr>
      <xdr:spPr bwMode="auto">
        <a:xfrm>
          <a:off x="3660361" y="862199"/>
          <a:ext cx="669680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ACTIVOS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8</xdr:col>
      <xdr:colOff>45663</xdr:colOff>
      <xdr:row>5</xdr:row>
      <xdr:rowOff>73813</xdr:rowOff>
    </xdr:from>
    <xdr:to>
      <xdr:col>8</xdr:col>
      <xdr:colOff>608371</xdr:colOff>
      <xdr:row>6</xdr:row>
      <xdr:rowOff>83338</xdr:rowOff>
    </xdr:to>
    <xdr:sp macro="[0]!Hoja2.BACK21_BackEnd_Pasivos_CuentaCorriente_Click" textlink="">
      <xdr:nvSpPr>
        <xdr:cNvPr id="76" name="BACK21"/>
        <xdr:cNvSpPr>
          <a:spLocks noChangeArrowheads="1"/>
        </xdr:cNvSpPr>
      </xdr:nvSpPr>
      <xdr:spPr bwMode="auto">
        <a:xfrm>
          <a:off x="6141663" y="1026313"/>
          <a:ext cx="562708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CUENTA CORRIENTE</a:t>
          </a:r>
        </a:p>
      </xdr:txBody>
    </xdr:sp>
    <xdr:clientData/>
  </xdr:twoCellAnchor>
  <xdr:twoCellAnchor>
    <xdr:from>
      <xdr:col>9</xdr:col>
      <xdr:colOff>60590</xdr:colOff>
      <xdr:row>5</xdr:row>
      <xdr:rowOff>73799</xdr:rowOff>
    </xdr:from>
    <xdr:to>
      <xdr:col>9</xdr:col>
      <xdr:colOff>621832</xdr:colOff>
      <xdr:row>6</xdr:row>
      <xdr:rowOff>83324</xdr:rowOff>
    </xdr:to>
    <xdr:sp macro="[0]!Hoja2.BACK23_BackEnd_Pasivos_CuentaVista_Click" textlink="">
      <xdr:nvSpPr>
        <xdr:cNvPr id="77" name="BACK23"/>
        <xdr:cNvSpPr>
          <a:spLocks noChangeArrowheads="1"/>
        </xdr:cNvSpPr>
      </xdr:nvSpPr>
      <xdr:spPr bwMode="auto">
        <a:xfrm>
          <a:off x="6918590" y="1026299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CUENTA VISTA</a:t>
          </a:r>
        </a:p>
      </xdr:txBody>
    </xdr:sp>
    <xdr:clientData/>
  </xdr:twoCellAnchor>
  <xdr:twoCellAnchor>
    <xdr:from>
      <xdr:col>8</xdr:col>
      <xdr:colOff>45663</xdr:colOff>
      <xdr:row>6</xdr:row>
      <xdr:rowOff>126345</xdr:rowOff>
    </xdr:from>
    <xdr:to>
      <xdr:col>8</xdr:col>
      <xdr:colOff>608371</xdr:colOff>
      <xdr:row>7</xdr:row>
      <xdr:rowOff>135870</xdr:rowOff>
    </xdr:to>
    <xdr:sp macro="[0]!Hoja2.BACK22_BackEnd_Pasivos_Ahorro_Click" textlink="">
      <xdr:nvSpPr>
        <xdr:cNvPr id="78" name="BACK22"/>
        <xdr:cNvSpPr>
          <a:spLocks noChangeArrowheads="1"/>
        </xdr:cNvSpPr>
      </xdr:nvSpPr>
      <xdr:spPr bwMode="auto">
        <a:xfrm>
          <a:off x="6141663" y="1269345"/>
          <a:ext cx="562708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AHORRO</a:t>
          </a:r>
        </a:p>
      </xdr:txBody>
    </xdr:sp>
    <xdr:clientData/>
  </xdr:twoCellAnchor>
  <xdr:twoCellAnchor>
    <xdr:from>
      <xdr:col>9</xdr:col>
      <xdr:colOff>60590</xdr:colOff>
      <xdr:row>6</xdr:row>
      <xdr:rowOff>127919</xdr:rowOff>
    </xdr:from>
    <xdr:to>
      <xdr:col>9</xdr:col>
      <xdr:colOff>621832</xdr:colOff>
      <xdr:row>7</xdr:row>
      <xdr:rowOff>137444</xdr:rowOff>
    </xdr:to>
    <xdr:sp macro="[0]!Hoja2.BACK24_BackEnd_Pasivos_Captaciones_Click" textlink="">
      <xdr:nvSpPr>
        <xdr:cNvPr id="79" name="BACK24"/>
        <xdr:cNvSpPr>
          <a:spLocks noChangeArrowheads="1"/>
        </xdr:cNvSpPr>
      </xdr:nvSpPr>
      <xdr:spPr bwMode="auto">
        <a:xfrm>
          <a:off x="6918590" y="1270919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CAPTACIONES</a:t>
          </a:r>
        </a:p>
      </xdr:txBody>
    </xdr:sp>
    <xdr:clientData/>
  </xdr:twoCellAnchor>
  <xdr:twoCellAnchor>
    <xdr:from>
      <xdr:col>7</xdr:col>
      <xdr:colOff>649781</xdr:colOff>
      <xdr:row>4</xdr:row>
      <xdr:rowOff>96916</xdr:rowOff>
    </xdr:from>
    <xdr:to>
      <xdr:col>8</xdr:col>
      <xdr:colOff>511862</xdr:colOff>
      <xdr:row>5</xdr:row>
      <xdr:rowOff>23080</xdr:rowOff>
    </xdr:to>
    <xdr:sp macro="" textlink="">
      <xdr:nvSpPr>
        <xdr:cNvPr id="80" name="BACK2"/>
        <xdr:cNvSpPr txBox="1">
          <a:spLocks noChangeArrowheads="1"/>
        </xdr:cNvSpPr>
      </xdr:nvSpPr>
      <xdr:spPr bwMode="auto">
        <a:xfrm>
          <a:off x="5983781" y="858916"/>
          <a:ext cx="624081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PASIVOS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4</xdr:col>
      <xdr:colOff>594777</xdr:colOff>
      <xdr:row>8</xdr:row>
      <xdr:rowOff>99935</xdr:rowOff>
    </xdr:from>
    <xdr:to>
      <xdr:col>6</xdr:col>
      <xdr:colOff>514180</xdr:colOff>
      <xdr:row>9</xdr:row>
      <xdr:rowOff>26099</xdr:rowOff>
    </xdr:to>
    <xdr:sp macro="" textlink="">
      <xdr:nvSpPr>
        <xdr:cNvPr id="81" name="BACK3"/>
        <xdr:cNvSpPr txBox="1">
          <a:spLocks noChangeArrowheads="1"/>
        </xdr:cNvSpPr>
      </xdr:nvSpPr>
      <xdr:spPr bwMode="auto">
        <a:xfrm>
          <a:off x="3642777" y="1623935"/>
          <a:ext cx="1443403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ES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CASH MANAGEMENT</a:t>
          </a:r>
        </a:p>
      </xdr:txBody>
    </xdr:sp>
    <xdr:clientData/>
  </xdr:twoCellAnchor>
  <xdr:twoCellAnchor>
    <xdr:from>
      <xdr:col>7</xdr:col>
      <xdr:colOff>603703</xdr:colOff>
      <xdr:row>8</xdr:row>
      <xdr:rowOff>104697</xdr:rowOff>
    </xdr:from>
    <xdr:to>
      <xdr:col>8</xdr:col>
      <xdr:colOff>524572</xdr:colOff>
      <xdr:row>9</xdr:row>
      <xdr:rowOff>30861</xdr:rowOff>
    </xdr:to>
    <xdr:sp macro="" textlink="">
      <xdr:nvSpPr>
        <xdr:cNvPr id="82" name="BACK4"/>
        <xdr:cNvSpPr txBox="1">
          <a:spLocks noChangeArrowheads="1"/>
        </xdr:cNvSpPr>
      </xdr:nvSpPr>
      <xdr:spPr bwMode="auto">
        <a:xfrm>
          <a:off x="5937703" y="1628697"/>
          <a:ext cx="682869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ES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TESORERÍA</a:t>
          </a:r>
        </a:p>
      </xdr:txBody>
    </xdr:sp>
    <xdr:clientData/>
  </xdr:twoCellAnchor>
  <xdr:twoCellAnchor>
    <xdr:from>
      <xdr:col>4</xdr:col>
      <xdr:colOff>759197</xdr:colOff>
      <xdr:row>13</xdr:row>
      <xdr:rowOff>170617</xdr:rowOff>
    </xdr:from>
    <xdr:to>
      <xdr:col>5</xdr:col>
      <xdr:colOff>587395</xdr:colOff>
      <xdr:row>14</xdr:row>
      <xdr:rowOff>96781</xdr:rowOff>
    </xdr:to>
    <xdr:sp macro="" textlink="">
      <xdr:nvSpPr>
        <xdr:cNvPr id="83" name="BACK5"/>
        <xdr:cNvSpPr txBox="1">
          <a:spLocks noChangeArrowheads="1"/>
        </xdr:cNvSpPr>
      </xdr:nvSpPr>
      <xdr:spPr bwMode="auto">
        <a:xfrm>
          <a:off x="3807197" y="2647117"/>
          <a:ext cx="590198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ES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SERVICIOS </a:t>
          </a:r>
        </a:p>
      </xdr:txBody>
    </xdr:sp>
    <xdr:clientData/>
  </xdr:twoCellAnchor>
  <xdr:twoCellAnchor>
    <xdr:from>
      <xdr:col>4</xdr:col>
      <xdr:colOff>749562</xdr:colOff>
      <xdr:row>20</xdr:row>
      <xdr:rowOff>139875</xdr:rowOff>
    </xdr:from>
    <xdr:to>
      <xdr:col>5</xdr:col>
      <xdr:colOff>542942</xdr:colOff>
      <xdr:row>21</xdr:row>
      <xdr:rowOff>66039</xdr:rowOff>
    </xdr:to>
    <xdr:sp macro="" textlink="">
      <xdr:nvSpPr>
        <xdr:cNvPr id="84" name="BACK6"/>
        <xdr:cNvSpPr txBox="1">
          <a:spLocks noChangeArrowheads="1"/>
        </xdr:cNvSpPr>
      </xdr:nvSpPr>
      <xdr:spPr bwMode="auto">
        <a:xfrm>
          <a:off x="3797562" y="3949875"/>
          <a:ext cx="555380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ES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RIESGO</a:t>
          </a:r>
        </a:p>
      </xdr:txBody>
    </xdr:sp>
    <xdr:clientData/>
  </xdr:twoCellAnchor>
  <xdr:twoCellAnchor>
    <xdr:from>
      <xdr:col>4</xdr:col>
      <xdr:colOff>748314</xdr:colOff>
      <xdr:row>23</xdr:row>
      <xdr:rowOff>89176</xdr:rowOff>
    </xdr:from>
    <xdr:to>
      <xdr:col>5</xdr:col>
      <xdr:colOff>459633</xdr:colOff>
      <xdr:row>24</xdr:row>
      <xdr:rowOff>15340</xdr:rowOff>
    </xdr:to>
    <xdr:sp macro="" textlink="">
      <xdr:nvSpPr>
        <xdr:cNvPr id="85" name="BACK7"/>
        <xdr:cNvSpPr txBox="1">
          <a:spLocks noChangeArrowheads="1"/>
        </xdr:cNvSpPr>
      </xdr:nvSpPr>
      <xdr:spPr bwMode="auto">
        <a:xfrm>
          <a:off x="3796314" y="4470676"/>
          <a:ext cx="473319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ES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CLIENTES</a:t>
          </a:r>
        </a:p>
      </xdr:txBody>
    </xdr:sp>
    <xdr:clientData/>
  </xdr:twoCellAnchor>
  <xdr:twoCellAnchor>
    <xdr:from>
      <xdr:col>4</xdr:col>
      <xdr:colOff>735531</xdr:colOff>
      <xdr:row>27</xdr:row>
      <xdr:rowOff>95125</xdr:rowOff>
    </xdr:from>
    <xdr:to>
      <xdr:col>6</xdr:col>
      <xdr:colOff>8283</xdr:colOff>
      <xdr:row>28</xdr:row>
      <xdr:rowOff>21289</xdr:rowOff>
    </xdr:to>
    <xdr:sp macro="" textlink="">
      <xdr:nvSpPr>
        <xdr:cNvPr id="86" name="BACK8"/>
        <xdr:cNvSpPr txBox="1">
          <a:spLocks noChangeArrowheads="1"/>
        </xdr:cNvSpPr>
      </xdr:nvSpPr>
      <xdr:spPr bwMode="auto">
        <a:xfrm>
          <a:off x="3783531" y="5238625"/>
          <a:ext cx="796752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ES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INSTITUCIONALES</a:t>
          </a:r>
        </a:p>
      </xdr:txBody>
    </xdr:sp>
    <xdr:clientData/>
  </xdr:twoCellAnchor>
  <xdr:twoCellAnchor>
    <xdr:from>
      <xdr:col>9</xdr:col>
      <xdr:colOff>390057</xdr:colOff>
      <xdr:row>10</xdr:row>
      <xdr:rowOff>163029</xdr:rowOff>
    </xdr:from>
    <xdr:to>
      <xdr:col>10</xdr:col>
      <xdr:colOff>116030</xdr:colOff>
      <xdr:row>11</xdr:row>
      <xdr:rowOff>172554</xdr:rowOff>
    </xdr:to>
    <xdr:sp macro="[0]!Hoja2.BACK46_BackEnd_Tesoreria_Apoyo_Click" textlink="">
      <xdr:nvSpPr>
        <xdr:cNvPr id="87" name="BACK46"/>
        <xdr:cNvSpPr>
          <a:spLocks noChangeArrowheads="1"/>
        </xdr:cNvSpPr>
      </xdr:nvSpPr>
      <xdr:spPr bwMode="auto">
        <a:xfrm>
          <a:off x="7248057" y="2068029"/>
          <a:ext cx="487973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APOYO</a:t>
          </a:r>
        </a:p>
      </xdr:txBody>
    </xdr:sp>
    <xdr:clientData/>
  </xdr:twoCellAnchor>
  <xdr:twoCellAnchor>
    <xdr:from>
      <xdr:col>3</xdr:col>
      <xdr:colOff>355429</xdr:colOff>
      <xdr:row>5</xdr:row>
      <xdr:rowOff>17318</xdr:rowOff>
    </xdr:from>
    <xdr:to>
      <xdr:col>4</xdr:col>
      <xdr:colOff>470922</xdr:colOff>
      <xdr:row>31</xdr:row>
      <xdr:rowOff>17318</xdr:rowOff>
    </xdr:to>
    <xdr:sp macro="" textlink="">
      <xdr:nvSpPr>
        <xdr:cNvPr id="88" name="AutoShape 115"/>
        <xdr:cNvSpPr>
          <a:spLocks noChangeArrowheads="1"/>
        </xdr:cNvSpPr>
      </xdr:nvSpPr>
      <xdr:spPr bwMode="auto">
        <a:xfrm>
          <a:off x="2641429" y="969818"/>
          <a:ext cx="877493" cy="4953000"/>
        </a:xfrm>
        <a:prstGeom prst="leftRightArrow">
          <a:avLst>
            <a:gd name="adj1" fmla="val 86463"/>
            <a:gd name="adj2" fmla="val 8993"/>
          </a:avLst>
        </a:prstGeom>
        <a:noFill/>
        <a:ln w="31750" algn="ctr">
          <a:solidFill>
            <a:schemeClr val="tx2">
              <a:lumMod val="60000"/>
              <a:lumOff val="40000"/>
            </a:schemeClr>
          </a:solidFill>
          <a:miter lim="800000"/>
          <a:headEnd/>
          <a:tailEnd/>
        </a:ln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10</xdr:col>
      <xdr:colOff>355148</xdr:colOff>
      <xdr:row>4</xdr:row>
      <xdr:rowOff>121296</xdr:rowOff>
    </xdr:from>
    <xdr:to>
      <xdr:col>11</xdr:col>
      <xdr:colOff>538528</xdr:colOff>
      <xdr:row>23</xdr:row>
      <xdr:rowOff>164523</xdr:rowOff>
    </xdr:to>
    <xdr:sp macro="" textlink="">
      <xdr:nvSpPr>
        <xdr:cNvPr id="89" name="AutoShape 115"/>
        <xdr:cNvSpPr>
          <a:spLocks noChangeArrowheads="1"/>
        </xdr:cNvSpPr>
      </xdr:nvSpPr>
      <xdr:spPr bwMode="auto">
        <a:xfrm>
          <a:off x="7975148" y="883296"/>
          <a:ext cx="945380" cy="3662727"/>
        </a:xfrm>
        <a:prstGeom prst="leftRightArrow">
          <a:avLst>
            <a:gd name="adj1" fmla="val 86463"/>
            <a:gd name="adj2" fmla="val 8993"/>
          </a:avLst>
        </a:prstGeom>
        <a:noFill/>
        <a:ln w="31750" algn="ctr">
          <a:solidFill>
            <a:schemeClr val="tx2">
              <a:lumMod val="60000"/>
              <a:lumOff val="40000"/>
            </a:schemeClr>
          </a:solidFill>
          <a:miter lim="800000"/>
          <a:headEnd/>
          <a:tailEnd/>
        </a:ln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6</xdr:col>
      <xdr:colOff>597407</xdr:colOff>
      <xdr:row>18</xdr:row>
      <xdr:rowOff>169665</xdr:rowOff>
    </xdr:from>
    <xdr:to>
      <xdr:col>7</xdr:col>
      <xdr:colOff>431028</xdr:colOff>
      <xdr:row>19</xdr:row>
      <xdr:rowOff>179190</xdr:rowOff>
    </xdr:to>
    <xdr:sp macro="[0]!Hoja2.BACK512_BackEnd_Servicios_ConciliacionCorresponsales_Click" textlink="">
      <xdr:nvSpPr>
        <xdr:cNvPr id="90" name="BACK512"/>
        <xdr:cNvSpPr>
          <a:spLocks noChangeArrowheads="1"/>
        </xdr:cNvSpPr>
      </xdr:nvSpPr>
      <xdr:spPr bwMode="auto">
        <a:xfrm>
          <a:off x="5169407" y="3598665"/>
          <a:ext cx="595621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CONCILIACIÓN CORRESPONSALES</a:t>
          </a:r>
        </a:p>
      </xdr:txBody>
    </xdr:sp>
    <xdr:clientData/>
  </xdr:twoCellAnchor>
  <xdr:twoCellAnchor>
    <xdr:from>
      <xdr:col>9</xdr:col>
      <xdr:colOff>162211</xdr:colOff>
      <xdr:row>21</xdr:row>
      <xdr:rowOff>130252</xdr:rowOff>
    </xdr:from>
    <xdr:to>
      <xdr:col>9</xdr:col>
      <xdr:colOff>721988</xdr:colOff>
      <xdr:row>22</xdr:row>
      <xdr:rowOff>128416</xdr:rowOff>
    </xdr:to>
    <xdr:sp macro="[0]!Hoja2.BACK65_BackEnd_Riesgo_ContinuidadDelNegocio_Click" textlink="">
      <xdr:nvSpPr>
        <xdr:cNvPr id="91" name="BACK65"/>
        <xdr:cNvSpPr>
          <a:spLocks noChangeArrowheads="1"/>
        </xdr:cNvSpPr>
      </xdr:nvSpPr>
      <xdr:spPr bwMode="auto">
        <a:xfrm>
          <a:off x="7020211" y="4130752"/>
          <a:ext cx="559777" cy="188664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CONTINUIDAD DEL NEGOCIO</a:t>
          </a:r>
        </a:p>
      </xdr:txBody>
    </xdr:sp>
    <xdr:clientData/>
  </xdr:twoCellAnchor>
  <xdr:twoCellAnchor>
    <xdr:from>
      <xdr:col>11</xdr:col>
      <xdr:colOff>682265</xdr:colOff>
      <xdr:row>9</xdr:row>
      <xdr:rowOff>127414</xdr:rowOff>
    </xdr:from>
    <xdr:to>
      <xdr:col>12</xdr:col>
      <xdr:colOff>560638</xdr:colOff>
      <xdr:row>15</xdr:row>
      <xdr:rowOff>60739</xdr:rowOff>
    </xdr:to>
    <xdr:sp macro="" textlink="">
      <xdr:nvSpPr>
        <xdr:cNvPr id="92" name="Rectangle 184"/>
        <xdr:cNvSpPr>
          <a:spLocks noChangeArrowheads="1"/>
        </xdr:cNvSpPr>
      </xdr:nvSpPr>
      <xdr:spPr bwMode="auto">
        <a:xfrm>
          <a:off x="9064265" y="1841914"/>
          <a:ext cx="640373" cy="1076325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11</xdr:col>
      <xdr:colOff>746958</xdr:colOff>
      <xdr:row>10</xdr:row>
      <xdr:rowOff>43275</xdr:rowOff>
    </xdr:from>
    <xdr:to>
      <xdr:col>12</xdr:col>
      <xdr:colOff>494912</xdr:colOff>
      <xdr:row>11</xdr:row>
      <xdr:rowOff>25813</xdr:rowOff>
    </xdr:to>
    <xdr:sp macro="[0]!Hoja2.GEST21_Gestion_Comercial_Marketing_Click" textlink="">
      <xdr:nvSpPr>
        <xdr:cNvPr id="93" name="GEST21"/>
        <xdr:cNvSpPr>
          <a:spLocks noChangeArrowheads="1"/>
        </xdr:cNvSpPr>
      </xdr:nvSpPr>
      <xdr:spPr bwMode="auto">
        <a:xfrm>
          <a:off x="9128958" y="1948275"/>
          <a:ext cx="509954" cy="1730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MARKETING</a:t>
          </a:r>
        </a:p>
      </xdr:txBody>
    </xdr:sp>
    <xdr:clientData/>
  </xdr:twoCellAnchor>
  <xdr:twoCellAnchor>
    <xdr:from>
      <xdr:col>11</xdr:col>
      <xdr:colOff>730526</xdr:colOff>
      <xdr:row>9</xdr:row>
      <xdr:rowOff>64320</xdr:rowOff>
    </xdr:from>
    <xdr:to>
      <xdr:col>12</xdr:col>
      <xdr:colOff>517167</xdr:colOff>
      <xdr:row>9</xdr:row>
      <xdr:rowOff>180984</xdr:rowOff>
    </xdr:to>
    <xdr:sp macro="" textlink="">
      <xdr:nvSpPr>
        <xdr:cNvPr id="94" name="GEST2"/>
        <xdr:cNvSpPr txBox="1">
          <a:spLocks noChangeArrowheads="1"/>
        </xdr:cNvSpPr>
      </xdr:nvSpPr>
      <xdr:spPr bwMode="auto">
        <a:xfrm>
          <a:off x="9112526" y="1778820"/>
          <a:ext cx="548641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COMERCIAL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11</xdr:col>
      <xdr:colOff>746958</xdr:colOff>
      <xdr:row>11</xdr:row>
      <xdr:rowOff>98838</xdr:rowOff>
    </xdr:from>
    <xdr:to>
      <xdr:col>12</xdr:col>
      <xdr:colOff>494912</xdr:colOff>
      <xdr:row>12</xdr:row>
      <xdr:rowOff>84550</xdr:rowOff>
    </xdr:to>
    <xdr:sp macro="[0]!Hoja2.GEST22_Gestion_Comercial_CRM_Click" textlink="">
      <xdr:nvSpPr>
        <xdr:cNvPr id="95" name="GEST22"/>
        <xdr:cNvSpPr>
          <a:spLocks noChangeArrowheads="1"/>
        </xdr:cNvSpPr>
      </xdr:nvSpPr>
      <xdr:spPr bwMode="auto">
        <a:xfrm>
          <a:off x="9128958" y="2194338"/>
          <a:ext cx="509954" cy="17621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CRM</a:t>
          </a:r>
        </a:p>
      </xdr:txBody>
    </xdr:sp>
    <xdr:clientData/>
  </xdr:twoCellAnchor>
  <xdr:twoCellAnchor>
    <xdr:from>
      <xdr:col>11</xdr:col>
      <xdr:colOff>746958</xdr:colOff>
      <xdr:row>12</xdr:row>
      <xdr:rowOff>157575</xdr:rowOff>
    </xdr:from>
    <xdr:to>
      <xdr:col>12</xdr:col>
      <xdr:colOff>494912</xdr:colOff>
      <xdr:row>13</xdr:row>
      <xdr:rowOff>140113</xdr:rowOff>
    </xdr:to>
    <xdr:sp macro="[0]!Hoja2.GEST23_Gestion_Comercial_Campagnas_Click" textlink="">
      <xdr:nvSpPr>
        <xdr:cNvPr id="96" name="GEST23"/>
        <xdr:cNvSpPr>
          <a:spLocks noChangeArrowheads="1"/>
        </xdr:cNvSpPr>
      </xdr:nvSpPr>
      <xdr:spPr bwMode="auto">
        <a:xfrm>
          <a:off x="9128958" y="2443575"/>
          <a:ext cx="509954" cy="1730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CAMPAÑAS</a:t>
          </a:r>
        </a:p>
      </xdr:txBody>
    </xdr:sp>
    <xdr:clientData/>
  </xdr:twoCellAnchor>
  <xdr:twoCellAnchor>
    <xdr:from>
      <xdr:col>11</xdr:col>
      <xdr:colOff>746958</xdr:colOff>
      <xdr:row>14</xdr:row>
      <xdr:rowOff>24225</xdr:rowOff>
    </xdr:from>
    <xdr:to>
      <xdr:col>12</xdr:col>
      <xdr:colOff>494912</xdr:colOff>
      <xdr:row>15</xdr:row>
      <xdr:rowOff>8350</xdr:rowOff>
    </xdr:to>
    <xdr:sp macro="[0]!Hoja2.GEST24_Gestion_Comercial_Canales_Click" textlink="">
      <xdr:nvSpPr>
        <xdr:cNvPr id="97" name="GEST24"/>
        <xdr:cNvSpPr>
          <a:spLocks noChangeArrowheads="1"/>
        </xdr:cNvSpPr>
      </xdr:nvSpPr>
      <xdr:spPr bwMode="auto">
        <a:xfrm>
          <a:off x="9128958" y="2691225"/>
          <a:ext cx="509954" cy="1746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CANALES</a:t>
          </a:r>
        </a:p>
      </xdr:txBody>
    </xdr:sp>
    <xdr:clientData/>
  </xdr:twoCellAnchor>
  <xdr:twoCellAnchor>
    <xdr:from>
      <xdr:col>11</xdr:col>
      <xdr:colOff>710107</xdr:colOff>
      <xdr:row>16</xdr:row>
      <xdr:rowOff>74675</xdr:rowOff>
    </xdr:from>
    <xdr:to>
      <xdr:col>12</xdr:col>
      <xdr:colOff>566499</xdr:colOff>
      <xdr:row>23</xdr:row>
      <xdr:rowOff>100075</xdr:rowOff>
    </xdr:to>
    <xdr:sp macro="" textlink="">
      <xdr:nvSpPr>
        <xdr:cNvPr id="98" name="Rectangle 184"/>
        <xdr:cNvSpPr>
          <a:spLocks noChangeArrowheads="1"/>
        </xdr:cNvSpPr>
      </xdr:nvSpPr>
      <xdr:spPr bwMode="auto">
        <a:xfrm>
          <a:off x="9092107" y="3122675"/>
          <a:ext cx="618392" cy="1358900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12</xdr:col>
      <xdr:colOff>237</xdr:colOff>
      <xdr:row>16</xdr:row>
      <xdr:rowOff>163533</xdr:rowOff>
    </xdr:from>
    <xdr:to>
      <xdr:col>12</xdr:col>
      <xdr:colOff>510191</xdr:colOff>
      <xdr:row>17</xdr:row>
      <xdr:rowOff>146071</xdr:rowOff>
    </xdr:to>
    <xdr:sp macro="[0]!Hoja2.GEST31_Gestion_Financiera_Riesgos_Click" textlink="">
      <xdr:nvSpPr>
        <xdr:cNvPr id="99" name="GEST31"/>
        <xdr:cNvSpPr>
          <a:spLocks noChangeArrowheads="1"/>
        </xdr:cNvSpPr>
      </xdr:nvSpPr>
      <xdr:spPr bwMode="auto">
        <a:xfrm>
          <a:off x="9144237" y="3211533"/>
          <a:ext cx="509954" cy="1730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RIESGOS</a:t>
          </a:r>
        </a:p>
      </xdr:txBody>
    </xdr:sp>
    <xdr:clientData/>
  </xdr:twoCellAnchor>
  <xdr:twoCellAnchor>
    <xdr:from>
      <xdr:col>11</xdr:col>
      <xdr:colOff>730527</xdr:colOff>
      <xdr:row>15</xdr:row>
      <xdr:rowOff>151200</xdr:rowOff>
    </xdr:from>
    <xdr:to>
      <xdr:col>12</xdr:col>
      <xdr:colOff>533069</xdr:colOff>
      <xdr:row>16</xdr:row>
      <xdr:rowOff>77364</xdr:rowOff>
    </xdr:to>
    <xdr:sp macro="" textlink="">
      <xdr:nvSpPr>
        <xdr:cNvPr id="100" name="GEST3"/>
        <xdr:cNvSpPr txBox="1">
          <a:spLocks noChangeArrowheads="1"/>
        </xdr:cNvSpPr>
      </xdr:nvSpPr>
      <xdr:spPr bwMode="auto">
        <a:xfrm>
          <a:off x="9112527" y="3008700"/>
          <a:ext cx="564542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FINANCIERA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12</xdr:col>
      <xdr:colOff>237</xdr:colOff>
      <xdr:row>18</xdr:row>
      <xdr:rowOff>34947</xdr:rowOff>
    </xdr:from>
    <xdr:to>
      <xdr:col>12</xdr:col>
      <xdr:colOff>510191</xdr:colOff>
      <xdr:row>19</xdr:row>
      <xdr:rowOff>19072</xdr:rowOff>
    </xdr:to>
    <xdr:sp macro="[0]!Hoja2.GEST32_Gestion_Financiera_Auditoria_Click" textlink="">
      <xdr:nvSpPr>
        <xdr:cNvPr id="101" name="GEST32"/>
        <xdr:cNvSpPr>
          <a:spLocks noChangeArrowheads="1"/>
        </xdr:cNvSpPr>
      </xdr:nvSpPr>
      <xdr:spPr bwMode="auto">
        <a:xfrm>
          <a:off x="9144237" y="3463947"/>
          <a:ext cx="509954" cy="1746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AUDITORIA</a:t>
          </a:r>
        </a:p>
      </xdr:txBody>
    </xdr:sp>
    <xdr:clientData/>
  </xdr:twoCellAnchor>
  <xdr:twoCellAnchor>
    <xdr:from>
      <xdr:col>12</xdr:col>
      <xdr:colOff>237</xdr:colOff>
      <xdr:row>19</xdr:row>
      <xdr:rowOff>98447</xdr:rowOff>
    </xdr:from>
    <xdr:to>
      <xdr:col>12</xdr:col>
      <xdr:colOff>510191</xdr:colOff>
      <xdr:row>20</xdr:row>
      <xdr:rowOff>80984</xdr:rowOff>
    </xdr:to>
    <xdr:sp macro="[0]!Hoja2.GEST33_Gestion_Financiera_Financiero_Click" textlink="">
      <xdr:nvSpPr>
        <xdr:cNvPr id="102" name="GEST33"/>
        <xdr:cNvSpPr>
          <a:spLocks noChangeArrowheads="1"/>
        </xdr:cNvSpPr>
      </xdr:nvSpPr>
      <xdr:spPr bwMode="auto">
        <a:xfrm>
          <a:off x="9144237" y="3717947"/>
          <a:ext cx="509954" cy="173037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FINANCIERO</a:t>
          </a:r>
        </a:p>
      </xdr:txBody>
    </xdr:sp>
    <xdr:clientData/>
  </xdr:twoCellAnchor>
  <xdr:twoCellAnchor>
    <xdr:from>
      <xdr:col>12</xdr:col>
      <xdr:colOff>237</xdr:colOff>
      <xdr:row>20</xdr:row>
      <xdr:rowOff>160359</xdr:rowOff>
    </xdr:from>
    <xdr:to>
      <xdr:col>12</xdr:col>
      <xdr:colOff>510191</xdr:colOff>
      <xdr:row>21</xdr:row>
      <xdr:rowOff>144484</xdr:rowOff>
    </xdr:to>
    <xdr:sp macro="[0]!Hoja2.GEST34_Gestion_Financiera_Costos_Click" textlink="">
      <xdr:nvSpPr>
        <xdr:cNvPr id="103" name="GEST34"/>
        <xdr:cNvSpPr>
          <a:spLocks noChangeArrowheads="1"/>
        </xdr:cNvSpPr>
      </xdr:nvSpPr>
      <xdr:spPr bwMode="auto">
        <a:xfrm>
          <a:off x="9144237" y="3970359"/>
          <a:ext cx="509954" cy="1746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COSTOS</a:t>
          </a:r>
        </a:p>
      </xdr:txBody>
    </xdr:sp>
    <xdr:clientData/>
  </xdr:twoCellAnchor>
  <xdr:twoCellAnchor>
    <xdr:from>
      <xdr:col>12</xdr:col>
      <xdr:colOff>237</xdr:colOff>
      <xdr:row>22</xdr:row>
      <xdr:rowOff>33358</xdr:rowOff>
    </xdr:from>
    <xdr:to>
      <xdr:col>12</xdr:col>
      <xdr:colOff>510191</xdr:colOff>
      <xdr:row>23</xdr:row>
      <xdr:rowOff>15896</xdr:rowOff>
    </xdr:to>
    <xdr:sp macro="[0]!Hoja2.GEST35_Gestion_Financiera_Rentabilidad_Click" textlink="">
      <xdr:nvSpPr>
        <xdr:cNvPr id="104" name="GEST35"/>
        <xdr:cNvSpPr>
          <a:spLocks noChangeArrowheads="1"/>
        </xdr:cNvSpPr>
      </xdr:nvSpPr>
      <xdr:spPr bwMode="auto">
        <a:xfrm>
          <a:off x="9144237" y="4224358"/>
          <a:ext cx="509954" cy="1730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RENTABILIDAD</a:t>
          </a:r>
        </a:p>
      </xdr:txBody>
    </xdr:sp>
    <xdr:clientData/>
  </xdr:twoCellAnchor>
  <xdr:twoCellAnchor>
    <xdr:from>
      <xdr:col>11</xdr:col>
      <xdr:colOff>710107</xdr:colOff>
      <xdr:row>28</xdr:row>
      <xdr:rowOff>8659</xdr:rowOff>
    </xdr:from>
    <xdr:to>
      <xdr:col>12</xdr:col>
      <xdr:colOff>566499</xdr:colOff>
      <xdr:row>35</xdr:row>
      <xdr:rowOff>128042</xdr:rowOff>
    </xdr:to>
    <xdr:sp macro="" textlink="">
      <xdr:nvSpPr>
        <xdr:cNvPr id="105" name="Rectangle 184"/>
        <xdr:cNvSpPr>
          <a:spLocks noChangeArrowheads="1"/>
        </xdr:cNvSpPr>
      </xdr:nvSpPr>
      <xdr:spPr bwMode="auto">
        <a:xfrm>
          <a:off x="9092107" y="5342659"/>
          <a:ext cx="618392" cy="1452883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12</xdr:col>
      <xdr:colOff>8188</xdr:colOff>
      <xdr:row>28</xdr:row>
      <xdr:rowOff>129837</xdr:rowOff>
    </xdr:from>
    <xdr:to>
      <xdr:col>12</xdr:col>
      <xdr:colOff>518142</xdr:colOff>
      <xdr:row>29</xdr:row>
      <xdr:rowOff>113962</xdr:rowOff>
    </xdr:to>
    <xdr:sp macro="[0]!Hoja2.GEST51_Gestion_Financiera_AML_Click" textlink="">
      <xdr:nvSpPr>
        <xdr:cNvPr id="106" name="GEST51"/>
        <xdr:cNvSpPr>
          <a:spLocks noChangeArrowheads="1"/>
        </xdr:cNvSpPr>
      </xdr:nvSpPr>
      <xdr:spPr bwMode="auto">
        <a:xfrm>
          <a:off x="9152188" y="5463837"/>
          <a:ext cx="509954" cy="1746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AML</a:t>
          </a:r>
        </a:p>
      </xdr:txBody>
    </xdr:sp>
    <xdr:clientData/>
  </xdr:twoCellAnchor>
  <xdr:twoCellAnchor>
    <xdr:from>
      <xdr:col>11</xdr:col>
      <xdr:colOff>707379</xdr:colOff>
      <xdr:row>27</xdr:row>
      <xdr:rowOff>147262</xdr:rowOff>
    </xdr:from>
    <xdr:to>
      <xdr:col>12</xdr:col>
      <xdr:colOff>581483</xdr:colOff>
      <xdr:row>28</xdr:row>
      <xdr:rowOff>73426</xdr:rowOff>
    </xdr:to>
    <xdr:sp macro="" textlink="">
      <xdr:nvSpPr>
        <xdr:cNvPr id="107" name="GEST5"/>
        <xdr:cNvSpPr txBox="1">
          <a:spLocks noChangeArrowheads="1"/>
        </xdr:cNvSpPr>
      </xdr:nvSpPr>
      <xdr:spPr bwMode="auto">
        <a:xfrm>
          <a:off x="9089379" y="5290762"/>
          <a:ext cx="636104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ESTRATEGICA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12</xdr:col>
      <xdr:colOff>8188</xdr:colOff>
      <xdr:row>31</xdr:row>
      <xdr:rowOff>12071</xdr:rowOff>
    </xdr:from>
    <xdr:to>
      <xdr:col>12</xdr:col>
      <xdr:colOff>518142</xdr:colOff>
      <xdr:row>31</xdr:row>
      <xdr:rowOff>186696</xdr:rowOff>
    </xdr:to>
    <xdr:sp macro="[0]!Hoja2.GEST53_Gestion_Financiera_Planes_Click" textlink="">
      <xdr:nvSpPr>
        <xdr:cNvPr id="108" name="GEST53"/>
        <xdr:cNvSpPr>
          <a:spLocks noChangeArrowheads="1"/>
        </xdr:cNvSpPr>
      </xdr:nvSpPr>
      <xdr:spPr bwMode="auto">
        <a:xfrm>
          <a:off x="9152188" y="5917571"/>
          <a:ext cx="509954" cy="1746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PLANES</a:t>
          </a:r>
        </a:p>
      </xdr:txBody>
    </xdr:sp>
    <xdr:clientData/>
  </xdr:twoCellAnchor>
  <xdr:twoCellAnchor>
    <xdr:from>
      <xdr:col>12</xdr:col>
      <xdr:colOff>8188</xdr:colOff>
      <xdr:row>32</xdr:row>
      <xdr:rowOff>39924</xdr:rowOff>
    </xdr:from>
    <xdr:to>
      <xdr:col>12</xdr:col>
      <xdr:colOff>518142</xdr:colOff>
      <xdr:row>33</xdr:row>
      <xdr:rowOff>24049</xdr:rowOff>
    </xdr:to>
    <xdr:sp macro="[0]!Hoja2.GEST54_Gestion_Financiera_Directorio_Click" textlink="">
      <xdr:nvSpPr>
        <xdr:cNvPr id="109" name="GEST54"/>
        <xdr:cNvSpPr>
          <a:spLocks noChangeArrowheads="1"/>
        </xdr:cNvSpPr>
      </xdr:nvSpPr>
      <xdr:spPr bwMode="auto">
        <a:xfrm>
          <a:off x="9152188" y="6135924"/>
          <a:ext cx="509954" cy="1746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DIRECTORIO</a:t>
          </a:r>
        </a:p>
      </xdr:txBody>
    </xdr:sp>
    <xdr:clientData/>
  </xdr:twoCellAnchor>
  <xdr:twoCellAnchor>
    <xdr:from>
      <xdr:col>12</xdr:col>
      <xdr:colOff>8188</xdr:colOff>
      <xdr:row>33</xdr:row>
      <xdr:rowOff>76437</xdr:rowOff>
    </xdr:from>
    <xdr:to>
      <xdr:col>12</xdr:col>
      <xdr:colOff>518142</xdr:colOff>
      <xdr:row>34</xdr:row>
      <xdr:rowOff>58974</xdr:rowOff>
    </xdr:to>
    <xdr:sp macro="[0]!Hoja2.GEST55_Gestion_Financiera_Acciones_Click" textlink="">
      <xdr:nvSpPr>
        <xdr:cNvPr id="110" name="GEST55"/>
        <xdr:cNvSpPr>
          <a:spLocks noChangeArrowheads="1"/>
        </xdr:cNvSpPr>
      </xdr:nvSpPr>
      <xdr:spPr bwMode="auto">
        <a:xfrm>
          <a:off x="9152188" y="6362937"/>
          <a:ext cx="509954" cy="173037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ACCIONES</a:t>
          </a:r>
        </a:p>
      </xdr:txBody>
    </xdr:sp>
    <xdr:clientData/>
  </xdr:twoCellAnchor>
  <xdr:twoCellAnchor>
    <xdr:from>
      <xdr:col>12</xdr:col>
      <xdr:colOff>8188</xdr:colOff>
      <xdr:row>34</xdr:row>
      <xdr:rowOff>95631</xdr:rowOff>
    </xdr:from>
    <xdr:to>
      <xdr:col>12</xdr:col>
      <xdr:colOff>518142</xdr:colOff>
      <xdr:row>35</xdr:row>
      <xdr:rowOff>79756</xdr:rowOff>
    </xdr:to>
    <xdr:sp macro="[0]!Hoja2.GEST56_Gestion_Financiera_ContinuidadDeNegocio_Click" textlink="">
      <xdr:nvSpPr>
        <xdr:cNvPr id="111" name="GEST56"/>
        <xdr:cNvSpPr>
          <a:spLocks noChangeArrowheads="1"/>
        </xdr:cNvSpPr>
      </xdr:nvSpPr>
      <xdr:spPr bwMode="auto">
        <a:xfrm>
          <a:off x="9152188" y="6572631"/>
          <a:ext cx="509954" cy="1746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CONTINUIDAD DE NEGOCIO</a:t>
          </a:r>
        </a:p>
      </xdr:txBody>
    </xdr:sp>
    <xdr:clientData/>
  </xdr:twoCellAnchor>
  <xdr:twoCellAnchor>
    <xdr:from>
      <xdr:col>11</xdr:col>
      <xdr:colOff>710107</xdr:colOff>
      <xdr:row>24</xdr:row>
      <xdr:rowOff>82967</xdr:rowOff>
    </xdr:from>
    <xdr:to>
      <xdr:col>12</xdr:col>
      <xdr:colOff>572361</xdr:colOff>
      <xdr:row>27</xdr:row>
      <xdr:rowOff>69894</xdr:rowOff>
    </xdr:to>
    <xdr:sp macro="" textlink="">
      <xdr:nvSpPr>
        <xdr:cNvPr id="112" name="Rectangle 184"/>
        <xdr:cNvSpPr>
          <a:spLocks noChangeArrowheads="1"/>
        </xdr:cNvSpPr>
      </xdr:nvSpPr>
      <xdr:spPr bwMode="auto">
        <a:xfrm>
          <a:off x="9092107" y="4654967"/>
          <a:ext cx="624254" cy="558427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12</xdr:col>
      <xdr:colOff>8188</xdr:colOff>
      <xdr:row>25</xdr:row>
      <xdr:rowOff>11530</xdr:rowOff>
    </xdr:from>
    <xdr:to>
      <xdr:col>12</xdr:col>
      <xdr:colOff>518142</xdr:colOff>
      <xdr:row>25</xdr:row>
      <xdr:rowOff>184568</xdr:rowOff>
    </xdr:to>
    <xdr:sp macro="[0]!Hoja2.GEST41_Gestion_Operativa_Log_Click" textlink="">
      <xdr:nvSpPr>
        <xdr:cNvPr id="113" name="GEST41"/>
        <xdr:cNvSpPr>
          <a:spLocks noChangeArrowheads="1"/>
        </xdr:cNvSpPr>
      </xdr:nvSpPr>
      <xdr:spPr bwMode="auto">
        <a:xfrm>
          <a:off x="9152188" y="4774030"/>
          <a:ext cx="509954" cy="173038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LOG</a:t>
          </a:r>
        </a:p>
      </xdr:txBody>
    </xdr:sp>
    <xdr:clientData/>
  </xdr:twoCellAnchor>
  <xdr:twoCellAnchor>
    <xdr:from>
      <xdr:col>11</xdr:col>
      <xdr:colOff>746742</xdr:colOff>
      <xdr:row>24</xdr:row>
      <xdr:rowOff>7968</xdr:rowOff>
    </xdr:from>
    <xdr:to>
      <xdr:col>12</xdr:col>
      <xdr:colOff>525117</xdr:colOff>
      <xdr:row>24</xdr:row>
      <xdr:rowOff>124632</xdr:rowOff>
    </xdr:to>
    <xdr:sp macro="" textlink="">
      <xdr:nvSpPr>
        <xdr:cNvPr id="114" name="GEST4"/>
        <xdr:cNvSpPr txBox="1">
          <a:spLocks noChangeArrowheads="1"/>
        </xdr:cNvSpPr>
      </xdr:nvSpPr>
      <xdr:spPr bwMode="auto">
        <a:xfrm>
          <a:off x="9128742" y="4579968"/>
          <a:ext cx="540375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OPERATIVA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12</xdr:col>
      <xdr:colOff>8188</xdr:colOff>
      <xdr:row>26</xdr:row>
      <xdr:rowOff>27405</xdr:rowOff>
    </xdr:from>
    <xdr:to>
      <xdr:col>12</xdr:col>
      <xdr:colOff>518142</xdr:colOff>
      <xdr:row>27</xdr:row>
      <xdr:rowOff>9943</xdr:rowOff>
    </xdr:to>
    <xdr:sp macro="[0]!Hoja2.GEST42_Gestion_Operativa_AuditTrail_Click" textlink="">
      <xdr:nvSpPr>
        <xdr:cNvPr id="115" name="GEST42"/>
        <xdr:cNvSpPr>
          <a:spLocks noChangeArrowheads="1"/>
        </xdr:cNvSpPr>
      </xdr:nvSpPr>
      <xdr:spPr bwMode="auto">
        <a:xfrm>
          <a:off x="9152188" y="4980405"/>
          <a:ext cx="509954" cy="1730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AUDIT TRAIL</a:t>
          </a:r>
        </a:p>
      </xdr:txBody>
    </xdr:sp>
    <xdr:clientData/>
  </xdr:twoCellAnchor>
  <xdr:twoCellAnchor>
    <xdr:from>
      <xdr:col>3</xdr:col>
      <xdr:colOff>473434</xdr:colOff>
      <xdr:row>6</xdr:row>
      <xdr:rowOff>58688</xdr:rowOff>
    </xdr:from>
    <xdr:to>
      <xdr:col>4</xdr:col>
      <xdr:colOff>343957</xdr:colOff>
      <xdr:row>7</xdr:row>
      <xdr:rowOff>83341</xdr:rowOff>
    </xdr:to>
    <xdr:sp macro="" textlink="">
      <xdr:nvSpPr>
        <xdr:cNvPr id="116" name="ONLI"/>
        <xdr:cNvSpPr txBox="1">
          <a:spLocks noChangeArrowheads="1"/>
        </xdr:cNvSpPr>
      </xdr:nvSpPr>
      <xdr:spPr bwMode="auto">
        <a:xfrm>
          <a:off x="2759434" y="1201688"/>
          <a:ext cx="632523" cy="21515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ES" sz="800" b="1" kern="0">
              <a:solidFill>
                <a:schemeClr val="bg1"/>
              </a:solidFill>
              <a:effectLst/>
              <a:latin typeface="Calibri" pitchFamily="34" charset="0"/>
              <a:cs typeface="Arial"/>
            </a:rPr>
            <a:t>INTEGRACIÓN ONLINE</a:t>
          </a:r>
        </a:p>
      </xdr:txBody>
    </xdr:sp>
    <xdr:clientData/>
  </xdr:twoCellAnchor>
  <xdr:twoCellAnchor>
    <xdr:from>
      <xdr:col>10</xdr:col>
      <xdr:colOff>522468</xdr:colOff>
      <xdr:row>5</xdr:row>
      <xdr:rowOff>129271</xdr:rowOff>
    </xdr:from>
    <xdr:to>
      <xdr:col>11</xdr:col>
      <xdr:colOff>396572</xdr:colOff>
      <xdr:row>6</xdr:row>
      <xdr:rowOff>153924</xdr:rowOff>
    </xdr:to>
    <xdr:sp macro="" textlink="">
      <xdr:nvSpPr>
        <xdr:cNvPr id="117" name="BATC"/>
        <xdr:cNvSpPr txBox="1">
          <a:spLocks noChangeArrowheads="1"/>
        </xdr:cNvSpPr>
      </xdr:nvSpPr>
      <xdr:spPr bwMode="auto">
        <a:xfrm>
          <a:off x="8142468" y="1081771"/>
          <a:ext cx="636104" cy="21515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ES" sz="800" b="1" kern="0">
              <a:solidFill>
                <a:schemeClr val="bg1"/>
              </a:solidFill>
              <a:effectLst/>
              <a:latin typeface="Calibri" pitchFamily="34" charset="0"/>
              <a:cs typeface="Arial"/>
            </a:rPr>
            <a:t>INTEGRACIÓN BATCH</a:t>
          </a:r>
        </a:p>
      </xdr:txBody>
    </xdr:sp>
    <xdr:clientData/>
  </xdr:twoCellAnchor>
  <xdr:twoCellAnchor>
    <xdr:from>
      <xdr:col>3</xdr:col>
      <xdr:colOff>459940</xdr:colOff>
      <xdr:row>9</xdr:row>
      <xdr:rowOff>8658</xdr:rowOff>
    </xdr:from>
    <xdr:to>
      <xdr:col>4</xdr:col>
      <xdr:colOff>361759</xdr:colOff>
      <xdr:row>18</xdr:row>
      <xdr:rowOff>164522</xdr:rowOff>
    </xdr:to>
    <xdr:sp macro="" textlink="">
      <xdr:nvSpPr>
        <xdr:cNvPr id="118" name="Rectangle 184"/>
        <xdr:cNvSpPr>
          <a:spLocks noChangeArrowheads="1"/>
        </xdr:cNvSpPr>
      </xdr:nvSpPr>
      <xdr:spPr bwMode="auto">
        <a:xfrm>
          <a:off x="2745940" y="1723158"/>
          <a:ext cx="663819" cy="1870364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3</xdr:col>
      <xdr:colOff>489330</xdr:colOff>
      <xdr:row>12</xdr:row>
      <xdr:rowOff>166616</xdr:rowOff>
    </xdr:from>
    <xdr:to>
      <xdr:col>4</xdr:col>
      <xdr:colOff>347532</xdr:colOff>
      <xdr:row>13</xdr:row>
      <xdr:rowOff>188419</xdr:rowOff>
    </xdr:to>
    <xdr:sp macro="[0]!Hoja2.ONLI13_IntOline_ActividadesMediacion_Click" textlink="">
      <xdr:nvSpPr>
        <xdr:cNvPr id="119" name="ONLI13"/>
        <xdr:cNvSpPr txBox="1">
          <a:spLocks noChangeArrowheads="1"/>
        </xdr:cNvSpPr>
      </xdr:nvSpPr>
      <xdr:spPr bwMode="auto">
        <a:xfrm>
          <a:off x="2775330" y="2452616"/>
          <a:ext cx="620202" cy="212303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ACTIVIDADES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(MEDIACION)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3</xdr:col>
      <xdr:colOff>511228</xdr:colOff>
      <xdr:row>15</xdr:row>
      <xdr:rowOff>133886</xdr:rowOff>
    </xdr:from>
    <xdr:to>
      <xdr:col>4</xdr:col>
      <xdr:colOff>328055</xdr:colOff>
      <xdr:row>16</xdr:row>
      <xdr:rowOff>143893</xdr:rowOff>
    </xdr:to>
    <xdr:sp macro="[0]!Hoja2.ONLI15_IntOline_UtilitariosMediacion_Click" textlink="">
      <xdr:nvSpPr>
        <xdr:cNvPr id="120" name="ONLI15"/>
        <xdr:cNvSpPr txBox="1">
          <a:spLocks noChangeArrowheads="1"/>
        </xdr:cNvSpPr>
      </xdr:nvSpPr>
      <xdr:spPr bwMode="auto">
        <a:xfrm>
          <a:off x="2797228" y="2991386"/>
          <a:ext cx="578827" cy="200507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UTILITARIOS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(MEDIACION)</a:t>
          </a:r>
        </a:p>
      </xdr:txBody>
    </xdr:sp>
    <xdr:clientData/>
  </xdr:twoCellAnchor>
  <xdr:twoCellAnchor>
    <xdr:from>
      <xdr:col>3</xdr:col>
      <xdr:colOff>511228</xdr:colOff>
      <xdr:row>14</xdr:row>
      <xdr:rowOff>62946</xdr:rowOff>
    </xdr:from>
    <xdr:to>
      <xdr:col>4</xdr:col>
      <xdr:colOff>328055</xdr:colOff>
      <xdr:row>15</xdr:row>
      <xdr:rowOff>71269</xdr:rowOff>
    </xdr:to>
    <xdr:sp macro="[0]!Hoja2.ONLI14_IntOline_EntidadesMediacion_Click" textlink="">
      <xdr:nvSpPr>
        <xdr:cNvPr id="121" name="ONLI14"/>
        <xdr:cNvSpPr txBox="1">
          <a:spLocks noChangeArrowheads="1"/>
        </xdr:cNvSpPr>
      </xdr:nvSpPr>
      <xdr:spPr bwMode="auto">
        <a:xfrm>
          <a:off x="2797228" y="2729946"/>
          <a:ext cx="578827" cy="198823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ENTIDADES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(MEDIACION)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3</xdr:col>
      <xdr:colOff>511228</xdr:colOff>
      <xdr:row>11</xdr:row>
      <xdr:rowOff>83146</xdr:rowOff>
    </xdr:from>
    <xdr:to>
      <xdr:col>4</xdr:col>
      <xdr:colOff>328055</xdr:colOff>
      <xdr:row>12</xdr:row>
      <xdr:rowOff>98209</xdr:rowOff>
    </xdr:to>
    <xdr:sp macro="[0]!Hoja2.ONLI12_IntOline_CapacidadesOrquestacion_Click" textlink="">
      <xdr:nvSpPr>
        <xdr:cNvPr id="122" name="ONLI12"/>
        <xdr:cNvSpPr txBox="1">
          <a:spLocks noChangeArrowheads="1"/>
        </xdr:cNvSpPr>
      </xdr:nvSpPr>
      <xdr:spPr bwMode="auto">
        <a:xfrm>
          <a:off x="2797228" y="2178646"/>
          <a:ext cx="578827" cy="205563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CAPACIDADES (ORQUESTACION)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3</xdr:col>
      <xdr:colOff>513190</xdr:colOff>
      <xdr:row>8</xdr:row>
      <xdr:rowOff>122987</xdr:rowOff>
    </xdr:from>
    <xdr:to>
      <xdr:col>4</xdr:col>
      <xdr:colOff>303768</xdr:colOff>
      <xdr:row>9</xdr:row>
      <xdr:rowOff>71559</xdr:rowOff>
    </xdr:to>
    <xdr:sp macro="" textlink="">
      <xdr:nvSpPr>
        <xdr:cNvPr id="123" name="ONLI1"/>
        <xdr:cNvSpPr txBox="1">
          <a:spLocks noChangeArrowheads="1"/>
        </xdr:cNvSpPr>
      </xdr:nvSpPr>
      <xdr:spPr bwMode="auto">
        <a:xfrm>
          <a:off x="2799190" y="1646987"/>
          <a:ext cx="552578" cy="139072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1800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SERVICIOS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3</xdr:col>
      <xdr:colOff>457009</xdr:colOff>
      <xdr:row>20</xdr:row>
      <xdr:rowOff>27381</xdr:rowOff>
    </xdr:from>
    <xdr:to>
      <xdr:col>4</xdr:col>
      <xdr:colOff>358828</xdr:colOff>
      <xdr:row>24</xdr:row>
      <xdr:rowOff>3297</xdr:rowOff>
    </xdr:to>
    <xdr:sp macro="" textlink="">
      <xdr:nvSpPr>
        <xdr:cNvPr id="124" name="Rectangle 184"/>
        <xdr:cNvSpPr>
          <a:spLocks noChangeArrowheads="1"/>
        </xdr:cNvSpPr>
      </xdr:nvSpPr>
      <xdr:spPr bwMode="auto">
        <a:xfrm>
          <a:off x="2743009" y="3837381"/>
          <a:ext cx="663819" cy="737916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3</xdr:col>
      <xdr:colOff>522950</xdr:colOff>
      <xdr:row>19</xdr:row>
      <xdr:rowOff>85829</xdr:rowOff>
    </xdr:from>
    <xdr:to>
      <xdr:col>4</xdr:col>
      <xdr:colOff>319262</xdr:colOff>
      <xdr:row>20</xdr:row>
      <xdr:rowOff>110482</xdr:rowOff>
    </xdr:to>
    <xdr:sp macro="" textlink="">
      <xdr:nvSpPr>
        <xdr:cNvPr id="125" name="ONLI2"/>
        <xdr:cNvSpPr txBox="1">
          <a:spLocks noChangeArrowheads="1"/>
        </xdr:cNvSpPr>
      </xdr:nvSpPr>
      <xdr:spPr bwMode="auto">
        <a:xfrm>
          <a:off x="2808950" y="3705329"/>
          <a:ext cx="558312" cy="215153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LOGICA NEGOCIO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3</xdr:col>
      <xdr:colOff>503901</xdr:colOff>
      <xdr:row>21</xdr:row>
      <xdr:rowOff>29049</xdr:rowOff>
    </xdr:from>
    <xdr:to>
      <xdr:col>4</xdr:col>
      <xdr:colOff>320727</xdr:colOff>
      <xdr:row>22</xdr:row>
      <xdr:rowOff>42427</xdr:rowOff>
    </xdr:to>
    <xdr:sp macro="[0]!Hoja2.ONLI21_IntOline_LogicaNegocio_ProcesamientoDeEventos_Click" textlink="">
      <xdr:nvSpPr>
        <xdr:cNvPr id="126" name="ONLI21"/>
        <xdr:cNvSpPr txBox="1">
          <a:spLocks noChangeArrowheads="1"/>
        </xdr:cNvSpPr>
      </xdr:nvSpPr>
      <xdr:spPr bwMode="auto">
        <a:xfrm>
          <a:off x="2789901" y="4029549"/>
          <a:ext cx="578826" cy="20387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PROCESAMIENTO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EVENTOS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3</xdr:col>
      <xdr:colOff>495950</xdr:colOff>
      <xdr:row>22</xdr:row>
      <xdr:rowOff>117978</xdr:rowOff>
    </xdr:from>
    <xdr:to>
      <xdr:col>4</xdr:col>
      <xdr:colOff>312776</xdr:colOff>
      <xdr:row>23</xdr:row>
      <xdr:rowOff>129671</xdr:rowOff>
    </xdr:to>
    <xdr:sp macro="[0]!Hoja2.ONLI22_IntOline_LogicaNegocio_Reglas_Click" textlink="">
      <xdr:nvSpPr>
        <xdr:cNvPr id="127" name="ONLI22"/>
        <xdr:cNvSpPr txBox="1">
          <a:spLocks noChangeArrowheads="1"/>
        </xdr:cNvSpPr>
      </xdr:nvSpPr>
      <xdr:spPr bwMode="auto">
        <a:xfrm>
          <a:off x="2781950" y="4308978"/>
          <a:ext cx="578826" cy="202193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REGLAS DE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NEGOCIOS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3</xdr:col>
      <xdr:colOff>454078</xdr:colOff>
      <xdr:row>24</xdr:row>
      <xdr:rowOff>181806</xdr:rowOff>
    </xdr:from>
    <xdr:to>
      <xdr:col>4</xdr:col>
      <xdr:colOff>355897</xdr:colOff>
      <xdr:row>27</xdr:row>
      <xdr:rowOff>49168</xdr:rowOff>
    </xdr:to>
    <xdr:sp macro="" textlink="">
      <xdr:nvSpPr>
        <xdr:cNvPr id="128" name="Rectangle 184"/>
        <xdr:cNvSpPr>
          <a:spLocks noChangeArrowheads="1"/>
        </xdr:cNvSpPr>
      </xdr:nvSpPr>
      <xdr:spPr bwMode="auto">
        <a:xfrm>
          <a:off x="2740078" y="4753806"/>
          <a:ext cx="663819" cy="438862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3</xdr:col>
      <xdr:colOff>520020</xdr:colOff>
      <xdr:row>24</xdr:row>
      <xdr:rowOff>101874</xdr:rowOff>
    </xdr:from>
    <xdr:to>
      <xdr:col>4</xdr:col>
      <xdr:colOff>316332</xdr:colOff>
      <xdr:row>25</xdr:row>
      <xdr:rowOff>28038</xdr:rowOff>
    </xdr:to>
    <xdr:sp macro="" textlink="">
      <xdr:nvSpPr>
        <xdr:cNvPr id="129" name="ONLI3"/>
        <xdr:cNvSpPr txBox="1">
          <a:spLocks noChangeArrowheads="1"/>
        </xdr:cNvSpPr>
      </xdr:nvSpPr>
      <xdr:spPr bwMode="auto">
        <a:xfrm>
          <a:off x="2806020" y="4673874"/>
          <a:ext cx="558312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TRAZAS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3</xdr:col>
      <xdr:colOff>508297</xdr:colOff>
      <xdr:row>25</xdr:row>
      <xdr:rowOff>140584</xdr:rowOff>
    </xdr:from>
    <xdr:to>
      <xdr:col>4</xdr:col>
      <xdr:colOff>325124</xdr:colOff>
      <xdr:row>26</xdr:row>
      <xdr:rowOff>150591</xdr:rowOff>
    </xdr:to>
    <xdr:sp macro="[0]!Hoja2.ONLI31_IntOline_Trazas_Logueo_Click" textlink="">
      <xdr:nvSpPr>
        <xdr:cNvPr id="130" name="ONLI31"/>
        <xdr:cNvSpPr txBox="1">
          <a:spLocks noChangeArrowheads="1"/>
        </xdr:cNvSpPr>
      </xdr:nvSpPr>
      <xdr:spPr bwMode="auto">
        <a:xfrm>
          <a:off x="2794297" y="4903084"/>
          <a:ext cx="578827" cy="200507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LOGUEO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10</xdr:col>
      <xdr:colOff>474759</xdr:colOff>
      <xdr:row>18</xdr:row>
      <xdr:rowOff>51544</xdr:rowOff>
    </xdr:from>
    <xdr:to>
      <xdr:col>11</xdr:col>
      <xdr:colOff>420425</xdr:colOff>
      <xdr:row>20</xdr:row>
      <xdr:rowOff>86600</xdr:rowOff>
    </xdr:to>
    <xdr:sp macro="" textlink="">
      <xdr:nvSpPr>
        <xdr:cNvPr id="136" name="Rectangle 184"/>
        <xdr:cNvSpPr>
          <a:spLocks noChangeArrowheads="1"/>
        </xdr:cNvSpPr>
      </xdr:nvSpPr>
      <xdr:spPr bwMode="auto">
        <a:xfrm>
          <a:off x="8094759" y="3480544"/>
          <a:ext cx="707666" cy="416056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10</xdr:col>
      <xdr:colOff>564627</xdr:colOff>
      <xdr:row>17</xdr:row>
      <xdr:rowOff>151963</xdr:rowOff>
    </xdr:from>
    <xdr:to>
      <xdr:col>11</xdr:col>
      <xdr:colOff>362404</xdr:colOff>
      <xdr:row>18</xdr:row>
      <xdr:rowOff>78127</xdr:rowOff>
    </xdr:to>
    <xdr:sp macro="" textlink="">
      <xdr:nvSpPr>
        <xdr:cNvPr id="137" name="BATC2"/>
        <xdr:cNvSpPr txBox="1">
          <a:spLocks noChangeArrowheads="1"/>
        </xdr:cNvSpPr>
      </xdr:nvSpPr>
      <xdr:spPr bwMode="auto">
        <a:xfrm>
          <a:off x="8184627" y="3390463"/>
          <a:ext cx="559777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TRAZAS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10</xdr:col>
      <xdr:colOff>530517</xdr:colOff>
      <xdr:row>18</xdr:row>
      <xdr:rowOff>186522</xdr:rowOff>
    </xdr:from>
    <xdr:to>
      <xdr:col>11</xdr:col>
      <xdr:colOff>347344</xdr:colOff>
      <xdr:row>19</xdr:row>
      <xdr:rowOff>186522</xdr:rowOff>
    </xdr:to>
    <xdr:sp macro="[0]!Hoja2.BATC31_IntBatch_Mediacion_Logueo_Click" textlink="">
      <xdr:nvSpPr>
        <xdr:cNvPr id="138" name="BATC21"/>
        <xdr:cNvSpPr txBox="1">
          <a:spLocks noChangeArrowheads="1"/>
        </xdr:cNvSpPr>
      </xdr:nvSpPr>
      <xdr:spPr bwMode="auto">
        <a:xfrm>
          <a:off x="8150517" y="3615522"/>
          <a:ext cx="578827" cy="190500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LOGUEO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10</xdr:col>
      <xdr:colOff>474758</xdr:colOff>
      <xdr:row>8</xdr:row>
      <xdr:rowOff>181849</xdr:rowOff>
    </xdr:from>
    <xdr:to>
      <xdr:col>11</xdr:col>
      <xdr:colOff>428377</xdr:colOff>
      <xdr:row>17</xdr:row>
      <xdr:rowOff>13588</xdr:rowOff>
    </xdr:to>
    <xdr:sp macro="" textlink="">
      <xdr:nvSpPr>
        <xdr:cNvPr id="139" name="Rectangle 184"/>
        <xdr:cNvSpPr>
          <a:spLocks noChangeArrowheads="1"/>
        </xdr:cNvSpPr>
      </xdr:nvSpPr>
      <xdr:spPr bwMode="auto">
        <a:xfrm>
          <a:off x="8094758" y="1705849"/>
          <a:ext cx="715619" cy="1546239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10</xdr:col>
      <xdr:colOff>561696</xdr:colOff>
      <xdr:row>8</xdr:row>
      <xdr:rowOff>115847</xdr:rowOff>
    </xdr:from>
    <xdr:to>
      <xdr:col>11</xdr:col>
      <xdr:colOff>360938</xdr:colOff>
      <xdr:row>9</xdr:row>
      <xdr:rowOff>42011</xdr:rowOff>
    </xdr:to>
    <xdr:sp macro="" textlink="">
      <xdr:nvSpPr>
        <xdr:cNvPr id="140" name="BATC1"/>
        <xdr:cNvSpPr txBox="1">
          <a:spLocks noChangeArrowheads="1"/>
        </xdr:cNvSpPr>
      </xdr:nvSpPr>
      <xdr:spPr bwMode="auto">
        <a:xfrm>
          <a:off x="8181696" y="1639847"/>
          <a:ext cx="561242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MEDIACION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10</xdr:col>
      <xdr:colOff>539716</xdr:colOff>
      <xdr:row>11</xdr:row>
      <xdr:rowOff>37040</xdr:rowOff>
    </xdr:from>
    <xdr:to>
      <xdr:col>11</xdr:col>
      <xdr:colOff>356543</xdr:colOff>
      <xdr:row>12</xdr:row>
      <xdr:rowOff>37040</xdr:rowOff>
    </xdr:to>
    <xdr:sp macro="[0]!Hoja2.BATC12_IntBatch_Mediacion_Transmision_Click" textlink="">
      <xdr:nvSpPr>
        <xdr:cNvPr id="141" name="BATC12"/>
        <xdr:cNvSpPr txBox="1">
          <a:spLocks noChangeArrowheads="1"/>
        </xdr:cNvSpPr>
      </xdr:nvSpPr>
      <xdr:spPr bwMode="auto">
        <a:xfrm>
          <a:off x="8159716" y="2132540"/>
          <a:ext cx="578827" cy="190500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TRANSMISION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10</xdr:col>
      <xdr:colOff>539716</xdr:colOff>
      <xdr:row>12</xdr:row>
      <xdr:rowOff>98966</xdr:rowOff>
    </xdr:from>
    <xdr:to>
      <xdr:col>11</xdr:col>
      <xdr:colOff>356543</xdr:colOff>
      <xdr:row>13</xdr:row>
      <xdr:rowOff>116428</xdr:rowOff>
    </xdr:to>
    <xdr:sp macro="[0]!Hoja2.BATC13_IntBatch_Mediacion_Inyeccion_Click" textlink="">
      <xdr:nvSpPr>
        <xdr:cNvPr id="142" name="BATC13"/>
        <xdr:cNvSpPr txBox="1">
          <a:spLocks noChangeArrowheads="1"/>
        </xdr:cNvSpPr>
      </xdr:nvSpPr>
      <xdr:spPr bwMode="auto">
        <a:xfrm>
          <a:off x="8159716" y="2384966"/>
          <a:ext cx="578827" cy="20796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INYECCIÓN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10</xdr:col>
      <xdr:colOff>538250</xdr:colOff>
      <xdr:row>13</xdr:row>
      <xdr:rowOff>189481</xdr:rowOff>
    </xdr:from>
    <xdr:to>
      <xdr:col>11</xdr:col>
      <xdr:colOff>355076</xdr:colOff>
      <xdr:row>15</xdr:row>
      <xdr:rowOff>14856</xdr:rowOff>
    </xdr:to>
    <xdr:sp macro="[0]!Hoja2.BATC23_IntBatch_Mediacion_Propagacion_Click" textlink="">
      <xdr:nvSpPr>
        <xdr:cNvPr id="143" name="BATC14"/>
        <xdr:cNvSpPr txBox="1">
          <a:spLocks noChangeArrowheads="1"/>
        </xdr:cNvSpPr>
      </xdr:nvSpPr>
      <xdr:spPr bwMode="auto">
        <a:xfrm>
          <a:off x="8158250" y="2665981"/>
          <a:ext cx="578826" cy="20637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PROPAGACION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10</xdr:col>
      <xdr:colOff>506564</xdr:colOff>
      <xdr:row>15</xdr:row>
      <xdr:rowOff>87908</xdr:rowOff>
    </xdr:from>
    <xdr:to>
      <xdr:col>11</xdr:col>
      <xdr:colOff>388620</xdr:colOff>
      <xdr:row>16</xdr:row>
      <xdr:rowOff>105371</xdr:rowOff>
    </xdr:to>
    <xdr:sp macro="[0]!Hoja2.BATC24_IntBatch_Mediacion_Calendarizacion_Click" textlink="">
      <xdr:nvSpPr>
        <xdr:cNvPr id="145" name="BATC15"/>
        <xdr:cNvSpPr txBox="1">
          <a:spLocks noChangeArrowheads="1"/>
        </xdr:cNvSpPr>
      </xdr:nvSpPr>
      <xdr:spPr bwMode="auto">
        <a:xfrm>
          <a:off x="8126564" y="2945408"/>
          <a:ext cx="644056" cy="207963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CALENDARIZACION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4</xdr:col>
      <xdr:colOff>458932</xdr:colOff>
      <xdr:row>31</xdr:row>
      <xdr:rowOff>42639</xdr:rowOff>
    </xdr:from>
    <xdr:to>
      <xdr:col>10</xdr:col>
      <xdr:colOff>372341</xdr:colOff>
      <xdr:row>33</xdr:row>
      <xdr:rowOff>80739</xdr:rowOff>
    </xdr:to>
    <xdr:sp macro="" textlink="">
      <xdr:nvSpPr>
        <xdr:cNvPr id="146" name="Rectangle 298"/>
        <xdr:cNvSpPr>
          <a:spLocks noChangeArrowheads="1"/>
        </xdr:cNvSpPr>
      </xdr:nvSpPr>
      <xdr:spPr bwMode="auto">
        <a:xfrm>
          <a:off x="3506932" y="5948139"/>
          <a:ext cx="4485409" cy="419100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6</xdr:col>
      <xdr:colOff>564971</xdr:colOff>
      <xdr:row>30</xdr:row>
      <xdr:rowOff>166501</xdr:rowOff>
    </xdr:from>
    <xdr:to>
      <xdr:col>8</xdr:col>
      <xdr:colOff>591378</xdr:colOff>
      <xdr:row>31</xdr:row>
      <xdr:rowOff>92665</xdr:rowOff>
    </xdr:to>
    <xdr:sp macro="" textlink="">
      <xdr:nvSpPr>
        <xdr:cNvPr id="147" name="TECN"/>
        <xdr:cNvSpPr txBox="1">
          <a:spLocks noChangeArrowheads="1"/>
        </xdr:cNvSpPr>
      </xdr:nvSpPr>
      <xdr:spPr bwMode="auto">
        <a:xfrm>
          <a:off x="5136971" y="5881501"/>
          <a:ext cx="1550407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solidFill>
                <a:schemeClr val="dk1"/>
              </a:solidFill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BACK-END   TECNOLOGICO</a:t>
          </a:r>
          <a:endParaRPr lang="es-ES" sz="800" b="1" kern="0">
            <a:solidFill>
              <a:schemeClr val="dk1"/>
            </a:solidFill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4</xdr:col>
      <xdr:colOff>639762</xdr:colOff>
      <xdr:row>31</xdr:row>
      <xdr:rowOff>179164</xdr:rowOff>
    </xdr:from>
    <xdr:to>
      <xdr:col>5</xdr:col>
      <xdr:colOff>437539</xdr:colOff>
      <xdr:row>32</xdr:row>
      <xdr:rowOff>187102</xdr:rowOff>
    </xdr:to>
    <xdr:sp macro="[0]!Hoja2.TECN1_BackEndTecnologico_AutenticacionYPerfilamiento_Click" textlink="">
      <xdr:nvSpPr>
        <xdr:cNvPr id="148" name="TECN1"/>
        <xdr:cNvSpPr>
          <a:spLocks noChangeArrowheads="1"/>
        </xdr:cNvSpPr>
      </xdr:nvSpPr>
      <xdr:spPr bwMode="auto">
        <a:xfrm>
          <a:off x="3687762" y="6084664"/>
          <a:ext cx="559777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AUTENTICACION Y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PERFILAMIENTO</a:t>
          </a:r>
        </a:p>
      </xdr:txBody>
    </xdr:sp>
    <xdr:clientData/>
  </xdr:twoCellAnchor>
  <xdr:twoCellAnchor>
    <xdr:from>
      <xdr:col>5</xdr:col>
      <xdr:colOff>598731</xdr:colOff>
      <xdr:row>31</xdr:row>
      <xdr:rowOff>179164</xdr:rowOff>
    </xdr:from>
    <xdr:to>
      <xdr:col>6</xdr:col>
      <xdr:colOff>396508</xdr:colOff>
      <xdr:row>32</xdr:row>
      <xdr:rowOff>187102</xdr:rowOff>
    </xdr:to>
    <xdr:sp macro="[0]!Hoja2.TECN2_BackEndTecnologico_Correo_Click" textlink="">
      <xdr:nvSpPr>
        <xdr:cNvPr id="149" name="TECN2"/>
        <xdr:cNvSpPr>
          <a:spLocks noChangeArrowheads="1"/>
        </xdr:cNvSpPr>
      </xdr:nvSpPr>
      <xdr:spPr bwMode="auto">
        <a:xfrm>
          <a:off x="4408731" y="6084664"/>
          <a:ext cx="559777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CORREO</a:t>
          </a:r>
        </a:p>
      </xdr:txBody>
    </xdr:sp>
    <xdr:clientData/>
  </xdr:twoCellAnchor>
  <xdr:twoCellAnchor>
    <xdr:from>
      <xdr:col>6</xdr:col>
      <xdr:colOff>557700</xdr:colOff>
      <xdr:row>31</xdr:row>
      <xdr:rowOff>179164</xdr:rowOff>
    </xdr:from>
    <xdr:to>
      <xdr:col>7</xdr:col>
      <xdr:colOff>356943</xdr:colOff>
      <xdr:row>32</xdr:row>
      <xdr:rowOff>185514</xdr:rowOff>
    </xdr:to>
    <xdr:sp macro="[0]!Hoja2.TECN3_BackEndTecnologico_ImpresionDocumentos_Click" textlink="">
      <xdr:nvSpPr>
        <xdr:cNvPr id="150" name="TECN3"/>
        <xdr:cNvSpPr>
          <a:spLocks noChangeArrowheads="1"/>
        </xdr:cNvSpPr>
      </xdr:nvSpPr>
      <xdr:spPr bwMode="auto">
        <a:xfrm>
          <a:off x="5129700" y="6084664"/>
          <a:ext cx="561243" cy="196850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IMPRESIÓN DOCUMENTOS</a:t>
          </a:r>
        </a:p>
      </xdr:txBody>
    </xdr:sp>
    <xdr:clientData/>
  </xdr:twoCellAnchor>
  <xdr:twoCellAnchor>
    <xdr:from>
      <xdr:col>7</xdr:col>
      <xdr:colOff>494282</xdr:colOff>
      <xdr:row>31</xdr:row>
      <xdr:rowOff>179164</xdr:rowOff>
    </xdr:from>
    <xdr:to>
      <xdr:col>8</xdr:col>
      <xdr:colOff>292059</xdr:colOff>
      <xdr:row>32</xdr:row>
      <xdr:rowOff>187102</xdr:rowOff>
    </xdr:to>
    <xdr:sp macro="[0]!Hoja2.TECN4_BackEndTecnologico_SingleSignOn_Click" textlink="">
      <xdr:nvSpPr>
        <xdr:cNvPr id="151" name="TECN4"/>
        <xdr:cNvSpPr>
          <a:spLocks noChangeArrowheads="1"/>
        </xdr:cNvSpPr>
      </xdr:nvSpPr>
      <xdr:spPr bwMode="auto">
        <a:xfrm>
          <a:off x="5828282" y="6084664"/>
          <a:ext cx="559777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SINGLE SIGN ON</a:t>
          </a:r>
        </a:p>
      </xdr:txBody>
    </xdr:sp>
    <xdr:clientData/>
  </xdr:twoCellAnchor>
  <xdr:twoCellAnchor>
    <xdr:from>
      <xdr:col>9</xdr:col>
      <xdr:colOff>411113</xdr:colOff>
      <xdr:row>31</xdr:row>
      <xdr:rowOff>179164</xdr:rowOff>
    </xdr:from>
    <xdr:to>
      <xdr:col>10</xdr:col>
      <xdr:colOff>208890</xdr:colOff>
      <xdr:row>32</xdr:row>
      <xdr:rowOff>187102</xdr:rowOff>
    </xdr:to>
    <xdr:sp macro="[0]!Hoja2.TECN6_BackEndTecnologico_WorkflowsAdmDocumental_Click" textlink="">
      <xdr:nvSpPr>
        <xdr:cNvPr id="152" name="TECN6"/>
        <xdr:cNvSpPr>
          <a:spLocks noChangeArrowheads="1"/>
        </xdr:cNvSpPr>
      </xdr:nvSpPr>
      <xdr:spPr bwMode="auto">
        <a:xfrm>
          <a:off x="7269113" y="6084664"/>
          <a:ext cx="559777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ADM DOCUMENT</a:t>
          </a:r>
        </a:p>
      </xdr:txBody>
    </xdr:sp>
    <xdr:clientData/>
  </xdr:twoCellAnchor>
  <xdr:twoCellAnchor>
    <xdr:from>
      <xdr:col>1</xdr:col>
      <xdr:colOff>0</xdr:colOff>
      <xdr:row>4</xdr:row>
      <xdr:rowOff>90375</xdr:rowOff>
    </xdr:from>
    <xdr:to>
      <xdr:col>1</xdr:col>
      <xdr:colOff>759917</xdr:colOff>
      <xdr:row>5</xdr:row>
      <xdr:rowOff>16539</xdr:rowOff>
    </xdr:to>
    <xdr:sp macro="" textlink="">
      <xdr:nvSpPr>
        <xdr:cNvPr id="153" name="WORK"/>
        <xdr:cNvSpPr txBox="1">
          <a:spLocks noChangeArrowheads="1"/>
        </xdr:cNvSpPr>
      </xdr:nvSpPr>
      <xdr:spPr bwMode="auto">
        <a:xfrm>
          <a:off x="762000" y="852375"/>
          <a:ext cx="759917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WORKSTATION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</xdr:col>
      <xdr:colOff>114300</xdr:colOff>
      <xdr:row>6</xdr:row>
      <xdr:rowOff>117718</xdr:rowOff>
    </xdr:from>
    <xdr:to>
      <xdr:col>1</xdr:col>
      <xdr:colOff>685800</xdr:colOff>
      <xdr:row>8</xdr:row>
      <xdr:rowOff>117718</xdr:rowOff>
    </xdr:to>
    <xdr:sp macro="[0]!Hoja2.WORK1_Workstation_Ofimatica_Click" textlink="">
      <xdr:nvSpPr>
        <xdr:cNvPr id="154" name="WORK1"/>
        <xdr:cNvSpPr>
          <a:spLocks noChangeArrowheads="1"/>
        </xdr:cNvSpPr>
      </xdr:nvSpPr>
      <xdr:spPr bwMode="auto">
        <a:xfrm>
          <a:off x="876300" y="1260718"/>
          <a:ext cx="571500" cy="381000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OFIMATICA</a:t>
          </a:r>
        </a:p>
      </xdr:txBody>
    </xdr:sp>
    <xdr:clientData/>
  </xdr:twoCellAnchor>
  <xdr:twoCellAnchor>
    <xdr:from>
      <xdr:col>1</xdr:col>
      <xdr:colOff>114300</xdr:colOff>
      <xdr:row>11</xdr:row>
      <xdr:rowOff>183548</xdr:rowOff>
    </xdr:from>
    <xdr:to>
      <xdr:col>1</xdr:col>
      <xdr:colOff>685800</xdr:colOff>
      <xdr:row>13</xdr:row>
      <xdr:rowOff>183548</xdr:rowOff>
    </xdr:to>
    <xdr:sp macro="[0]!Hoja2.WORK3_Workstation_Browser_Click" textlink="">
      <xdr:nvSpPr>
        <xdr:cNvPr id="155" name="WORK3"/>
        <xdr:cNvSpPr>
          <a:spLocks noChangeArrowheads="1"/>
        </xdr:cNvSpPr>
      </xdr:nvSpPr>
      <xdr:spPr bwMode="auto">
        <a:xfrm>
          <a:off x="876300" y="2279048"/>
          <a:ext cx="571500" cy="381000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BROWSER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</xdr:col>
      <xdr:colOff>114300</xdr:colOff>
      <xdr:row>14</xdr:row>
      <xdr:rowOff>116527</xdr:rowOff>
    </xdr:from>
    <xdr:to>
      <xdr:col>1</xdr:col>
      <xdr:colOff>685800</xdr:colOff>
      <xdr:row>18</xdr:row>
      <xdr:rowOff>104949</xdr:rowOff>
    </xdr:to>
    <xdr:sp macro="[0]!Hoja2.WORK4_Workstation_Seguridad_Click" textlink="">
      <xdr:nvSpPr>
        <xdr:cNvPr id="156" name="WORK4"/>
        <xdr:cNvSpPr>
          <a:spLocks noChangeArrowheads="1"/>
        </xdr:cNvSpPr>
      </xdr:nvSpPr>
      <xdr:spPr bwMode="auto">
        <a:xfrm>
          <a:off x="876300" y="2783527"/>
          <a:ext cx="571500" cy="75042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SEGURIDAD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endParaRPr lang="es-CL" sz="600" b="1" kern="0">
            <a:solidFill>
              <a:srgbClr val="000000"/>
            </a:solidFill>
            <a:latin typeface="Calibri" pitchFamily="34" charset="0"/>
            <a:cs typeface="Arial"/>
          </a:endParaRPr>
        </a:p>
        <a:p>
          <a:pPr fontAlgn="auto">
            <a:lnSpc>
              <a:spcPct val="70000"/>
            </a:lnSpc>
            <a:spcBef>
              <a:spcPts val="0"/>
            </a:spcBef>
            <a:spcAft>
              <a:spcPts val="0"/>
            </a:spcAft>
            <a:buFont typeface="Arial" pitchFamily="34" charset="0"/>
            <a:buChar char="•"/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 ANTIVIRUS</a:t>
          </a:r>
        </a:p>
        <a:p>
          <a:pPr fontAlgn="auto">
            <a:lnSpc>
              <a:spcPct val="70000"/>
            </a:lnSpc>
            <a:spcBef>
              <a:spcPts val="0"/>
            </a:spcBef>
            <a:spcAft>
              <a:spcPts val="0"/>
            </a:spcAft>
            <a:buFont typeface="Arial" pitchFamily="34" charset="0"/>
            <a:buChar char="•"/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 DLP</a:t>
          </a:r>
        </a:p>
        <a:p>
          <a:pPr fontAlgn="auto">
            <a:lnSpc>
              <a:spcPct val="70000"/>
            </a:lnSpc>
            <a:spcBef>
              <a:spcPts val="0"/>
            </a:spcBef>
            <a:spcAft>
              <a:spcPts val="0"/>
            </a:spcAft>
            <a:buFont typeface="Arial" pitchFamily="34" charset="0"/>
            <a:buChar char="•"/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 FIREWALL PERSONAL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</xdr:col>
      <xdr:colOff>114300</xdr:colOff>
      <xdr:row>19</xdr:row>
      <xdr:rowOff>42567</xdr:rowOff>
    </xdr:from>
    <xdr:to>
      <xdr:col>1</xdr:col>
      <xdr:colOff>685800</xdr:colOff>
      <xdr:row>24</xdr:row>
      <xdr:rowOff>3630</xdr:rowOff>
    </xdr:to>
    <xdr:sp macro="[0]!Hoja2.WORK5_Workstation_Dispositivos_Click" textlink="">
      <xdr:nvSpPr>
        <xdr:cNvPr id="157" name="WORK5"/>
        <xdr:cNvSpPr>
          <a:spLocks noChangeArrowheads="1"/>
        </xdr:cNvSpPr>
      </xdr:nvSpPr>
      <xdr:spPr bwMode="auto">
        <a:xfrm>
          <a:off x="876300" y="3662067"/>
          <a:ext cx="571500" cy="913563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18000" tIns="108000" rIns="1800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DISPOSITIVOS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endParaRPr lang="es-CL" sz="600" b="1" kern="0">
            <a:solidFill>
              <a:srgbClr val="000000"/>
            </a:solidFill>
            <a:latin typeface="Calibri" pitchFamily="34" charset="0"/>
            <a:cs typeface="Arial"/>
          </a:endParaRPr>
        </a:p>
        <a:p>
          <a:pPr fontAlgn="auto">
            <a:lnSpc>
              <a:spcPct val="70000"/>
            </a:lnSpc>
            <a:spcBef>
              <a:spcPts val="0"/>
            </a:spcBef>
            <a:spcAft>
              <a:spcPts val="0"/>
            </a:spcAft>
            <a:buFont typeface="Arial" pitchFamily="34" charset="0"/>
            <a:buChar char="•"/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 IMPRESORA</a:t>
          </a:r>
        </a:p>
        <a:p>
          <a:pPr fontAlgn="auto">
            <a:lnSpc>
              <a:spcPct val="70000"/>
            </a:lnSpc>
            <a:spcBef>
              <a:spcPts val="0"/>
            </a:spcBef>
            <a:spcAft>
              <a:spcPts val="0"/>
            </a:spcAft>
            <a:buFont typeface="Arial" pitchFamily="34" charset="0"/>
            <a:buChar char="•"/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 SCANNER</a:t>
          </a:r>
        </a:p>
        <a:p>
          <a:pPr fontAlgn="auto">
            <a:lnSpc>
              <a:spcPct val="70000"/>
            </a:lnSpc>
            <a:spcBef>
              <a:spcPts val="0"/>
            </a:spcBef>
            <a:spcAft>
              <a:spcPts val="0"/>
            </a:spcAft>
            <a:buFont typeface="Arial" pitchFamily="34" charset="0"/>
            <a:buChar char="•"/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 LECTOR DE HUELLA</a:t>
          </a:r>
        </a:p>
        <a:p>
          <a:pPr fontAlgn="auto">
            <a:lnSpc>
              <a:spcPct val="70000"/>
            </a:lnSpc>
            <a:spcBef>
              <a:spcPts val="0"/>
            </a:spcBef>
            <a:spcAft>
              <a:spcPts val="0"/>
            </a:spcAft>
            <a:buFont typeface="Arial" pitchFamily="34" charset="0"/>
            <a:buChar char="•"/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 LECTOR DE CHEQUES</a:t>
          </a:r>
        </a:p>
        <a:p>
          <a:pPr fontAlgn="auto">
            <a:lnSpc>
              <a:spcPct val="70000"/>
            </a:lnSpc>
            <a:spcBef>
              <a:spcPts val="0"/>
            </a:spcBef>
            <a:spcAft>
              <a:spcPts val="0"/>
            </a:spcAft>
            <a:buFont typeface="Arial" pitchFamily="34" charset="0"/>
            <a:buChar char="•"/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 MONITOR</a:t>
          </a:r>
        </a:p>
        <a:p>
          <a:pPr fontAlgn="auto">
            <a:lnSpc>
              <a:spcPct val="70000"/>
            </a:lnSpc>
            <a:spcBef>
              <a:spcPts val="0"/>
            </a:spcBef>
            <a:spcAft>
              <a:spcPts val="0"/>
            </a:spcAft>
            <a:buFont typeface="Arial" pitchFamily="34" charset="0"/>
            <a:buChar char="•"/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 TECLADO</a:t>
          </a:r>
        </a:p>
        <a:p>
          <a:pPr fontAlgn="auto">
            <a:lnSpc>
              <a:spcPct val="70000"/>
            </a:lnSpc>
            <a:spcBef>
              <a:spcPts val="0"/>
            </a:spcBef>
            <a:spcAft>
              <a:spcPts val="0"/>
            </a:spcAft>
            <a:buFont typeface="Arial" pitchFamily="34" charset="0"/>
            <a:buChar char="•"/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.RECICLADORES/DISPENSERS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</xdr:col>
      <xdr:colOff>114300</xdr:colOff>
      <xdr:row>9</xdr:row>
      <xdr:rowOff>29991</xdr:rowOff>
    </xdr:from>
    <xdr:to>
      <xdr:col>1</xdr:col>
      <xdr:colOff>685800</xdr:colOff>
      <xdr:row>11</xdr:row>
      <xdr:rowOff>29991</xdr:rowOff>
    </xdr:to>
    <xdr:sp macro="[0]!Hoja2.WORK2_Workstation_Correo_Click" textlink="">
      <xdr:nvSpPr>
        <xdr:cNvPr id="158" name="WORK2"/>
        <xdr:cNvSpPr>
          <a:spLocks noChangeArrowheads="1"/>
        </xdr:cNvSpPr>
      </xdr:nvSpPr>
      <xdr:spPr bwMode="auto">
        <a:xfrm>
          <a:off x="876300" y="1744491"/>
          <a:ext cx="571500" cy="381000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CORREO Y MENSAJERÍA INSTANTÁNEA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158417</xdr:colOff>
      <xdr:row>5</xdr:row>
      <xdr:rowOff>77932</xdr:rowOff>
    </xdr:from>
    <xdr:to>
      <xdr:col>3</xdr:col>
      <xdr:colOff>176020</xdr:colOff>
      <xdr:row>13</xdr:row>
      <xdr:rowOff>0</xdr:rowOff>
    </xdr:to>
    <xdr:sp macro="" textlink="">
      <xdr:nvSpPr>
        <xdr:cNvPr id="159" name="Rectangle 194"/>
        <xdr:cNvSpPr>
          <a:spLocks noChangeArrowheads="1"/>
        </xdr:cNvSpPr>
      </xdr:nvSpPr>
      <xdr:spPr bwMode="auto">
        <a:xfrm>
          <a:off x="1682417" y="1030432"/>
          <a:ext cx="779603" cy="1446068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2</xdr:col>
      <xdr:colOff>179460</xdr:colOff>
      <xdr:row>4</xdr:row>
      <xdr:rowOff>157288</xdr:rowOff>
    </xdr:from>
    <xdr:to>
      <xdr:col>3</xdr:col>
      <xdr:colOff>154978</xdr:colOff>
      <xdr:row>5</xdr:row>
      <xdr:rowOff>181941</xdr:rowOff>
    </xdr:to>
    <xdr:sp macro="" textlink="">
      <xdr:nvSpPr>
        <xdr:cNvPr id="160" name="CANA1"/>
        <xdr:cNvSpPr txBox="1">
          <a:spLocks noChangeArrowheads="1"/>
        </xdr:cNvSpPr>
      </xdr:nvSpPr>
      <xdr:spPr bwMode="auto">
        <a:xfrm>
          <a:off x="1703460" y="919288"/>
          <a:ext cx="737518" cy="215153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PLAT. AT. CLIENTES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242602</xdr:colOff>
      <xdr:row>6</xdr:row>
      <xdr:rowOff>45088</xdr:rowOff>
    </xdr:from>
    <xdr:to>
      <xdr:col>3</xdr:col>
      <xdr:colOff>77932</xdr:colOff>
      <xdr:row>7</xdr:row>
      <xdr:rowOff>60614</xdr:rowOff>
    </xdr:to>
    <xdr:sp macro="[0]!Hoja2.CANA11_Canales_PlatAtClientes_FrontOfficeVentaPersonas_Click" textlink="">
      <xdr:nvSpPr>
        <xdr:cNvPr id="161" name="CANA11"/>
        <xdr:cNvSpPr>
          <a:spLocks noChangeArrowheads="1"/>
        </xdr:cNvSpPr>
      </xdr:nvSpPr>
      <xdr:spPr bwMode="auto">
        <a:xfrm>
          <a:off x="1766602" y="1188088"/>
          <a:ext cx="597330" cy="206026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FRONT OFFICE VENTA PERSONAS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242602</xdr:colOff>
      <xdr:row>7</xdr:row>
      <xdr:rowOff>106881</xdr:rowOff>
    </xdr:from>
    <xdr:to>
      <xdr:col>3</xdr:col>
      <xdr:colOff>86591</xdr:colOff>
      <xdr:row>8</xdr:row>
      <xdr:rowOff>138546</xdr:rowOff>
    </xdr:to>
    <xdr:sp macro="[0]!Hoja2.CANA12_Canales_PlatAtClientes_FrontOfficePostVentaPersonas_Click" textlink="">
      <xdr:nvSpPr>
        <xdr:cNvPr id="162" name="CANA12"/>
        <xdr:cNvSpPr>
          <a:spLocks noChangeArrowheads="1"/>
        </xdr:cNvSpPr>
      </xdr:nvSpPr>
      <xdr:spPr bwMode="auto">
        <a:xfrm>
          <a:off x="1766602" y="1440381"/>
          <a:ext cx="605989" cy="22216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ES" sz="600" b="1" kern="0">
              <a:solidFill>
                <a:srgbClr val="000000"/>
              </a:solidFill>
              <a:latin typeface="Calibri" pitchFamily="34" charset="0"/>
              <a:cs typeface="Arial"/>
            </a:rPr>
            <a:t>FRONT</a:t>
          </a:r>
          <a:r>
            <a:rPr lang="es-ES" sz="600" b="1" kern="0" baseline="0">
              <a:solidFill>
                <a:srgbClr val="000000"/>
              </a:solidFill>
              <a:latin typeface="Calibri" pitchFamily="34" charset="0"/>
              <a:cs typeface="Arial"/>
            </a:rPr>
            <a:t> OFFICE VENTA EMPRESAS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242602</xdr:colOff>
      <xdr:row>11</xdr:row>
      <xdr:rowOff>125906</xdr:rowOff>
    </xdr:from>
    <xdr:to>
      <xdr:col>3</xdr:col>
      <xdr:colOff>77932</xdr:colOff>
      <xdr:row>12</xdr:row>
      <xdr:rowOff>138545</xdr:rowOff>
    </xdr:to>
    <xdr:sp macro="[0]!Hoja2.CANA15_Canales_PlatAtClientes_ContactCenter_Click" textlink="">
      <xdr:nvSpPr>
        <xdr:cNvPr id="163" name="CANA15"/>
        <xdr:cNvSpPr>
          <a:spLocks noChangeArrowheads="1"/>
        </xdr:cNvSpPr>
      </xdr:nvSpPr>
      <xdr:spPr bwMode="auto">
        <a:xfrm>
          <a:off x="1766602" y="2221406"/>
          <a:ext cx="597330" cy="203139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CONTACT CENTER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158417</xdr:colOff>
      <xdr:row>14</xdr:row>
      <xdr:rowOff>0</xdr:rowOff>
    </xdr:from>
    <xdr:to>
      <xdr:col>3</xdr:col>
      <xdr:colOff>176020</xdr:colOff>
      <xdr:row>17</xdr:row>
      <xdr:rowOff>34632</xdr:rowOff>
    </xdr:to>
    <xdr:sp macro="" textlink="">
      <xdr:nvSpPr>
        <xdr:cNvPr id="164" name="Rectangle 194"/>
        <xdr:cNvSpPr>
          <a:spLocks noChangeArrowheads="1"/>
        </xdr:cNvSpPr>
      </xdr:nvSpPr>
      <xdr:spPr bwMode="auto">
        <a:xfrm>
          <a:off x="1682417" y="2667000"/>
          <a:ext cx="779603" cy="606132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2</xdr:col>
      <xdr:colOff>158417</xdr:colOff>
      <xdr:row>17</xdr:row>
      <xdr:rowOff>119392</xdr:rowOff>
    </xdr:from>
    <xdr:to>
      <xdr:col>3</xdr:col>
      <xdr:colOff>176020</xdr:colOff>
      <xdr:row>19</xdr:row>
      <xdr:rowOff>147202</xdr:rowOff>
    </xdr:to>
    <xdr:sp macro="" textlink="">
      <xdr:nvSpPr>
        <xdr:cNvPr id="166" name="Rectangle 194"/>
        <xdr:cNvSpPr>
          <a:spLocks noChangeArrowheads="1"/>
        </xdr:cNvSpPr>
      </xdr:nvSpPr>
      <xdr:spPr bwMode="auto">
        <a:xfrm>
          <a:off x="1682417" y="3357892"/>
          <a:ext cx="779603" cy="408810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2</xdr:col>
      <xdr:colOff>179460</xdr:colOff>
      <xdr:row>17</xdr:row>
      <xdr:rowOff>99686</xdr:rowOff>
    </xdr:from>
    <xdr:to>
      <xdr:col>3</xdr:col>
      <xdr:colOff>154978</xdr:colOff>
      <xdr:row>18</xdr:row>
      <xdr:rowOff>25850</xdr:rowOff>
    </xdr:to>
    <xdr:sp macro="" textlink="">
      <xdr:nvSpPr>
        <xdr:cNvPr id="167" name="CANA3"/>
        <xdr:cNvSpPr txBox="1">
          <a:spLocks noChangeArrowheads="1"/>
        </xdr:cNvSpPr>
      </xdr:nvSpPr>
      <xdr:spPr bwMode="auto">
        <a:xfrm>
          <a:off x="1703460" y="3338186"/>
          <a:ext cx="737518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PLAT. DE CAJAS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158417</xdr:colOff>
      <xdr:row>20</xdr:row>
      <xdr:rowOff>102706</xdr:rowOff>
    </xdr:from>
    <xdr:to>
      <xdr:col>3</xdr:col>
      <xdr:colOff>176020</xdr:colOff>
      <xdr:row>28</xdr:row>
      <xdr:rowOff>41382</xdr:rowOff>
    </xdr:to>
    <xdr:sp macro="" textlink="">
      <xdr:nvSpPr>
        <xdr:cNvPr id="168" name="Rectangle 194"/>
        <xdr:cNvSpPr>
          <a:spLocks noChangeArrowheads="1"/>
        </xdr:cNvSpPr>
      </xdr:nvSpPr>
      <xdr:spPr bwMode="auto">
        <a:xfrm>
          <a:off x="1682417" y="3912706"/>
          <a:ext cx="779603" cy="1462676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2</xdr:col>
      <xdr:colOff>179460</xdr:colOff>
      <xdr:row>20</xdr:row>
      <xdr:rowOff>41116</xdr:rowOff>
    </xdr:from>
    <xdr:to>
      <xdr:col>3</xdr:col>
      <xdr:colOff>154978</xdr:colOff>
      <xdr:row>21</xdr:row>
      <xdr:rowOff>65769</xdr:rowOff>
    </xdr:to>
    <xdr:sp macro="" textlink="">
      <xdr:nvSpPr>
        <xdr:cNvPr id="169" name="CANA4"/>
        <xdr:cNvSpPr txBox="1">
          <a:spLocks noChangeArrowheads="1"/>
        </xdr:cNvSpPr>
      </xdr:nvSpPr>
      <xdr:spPr bwMode="auto">
        <a:xfrm>
          <a:off x="1703460" y="3851116"/>
          <a:ext cx="737518" cy="215153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PLAT. AUTOSERVICIO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158417</xdr:colOff>
      <xdr:row>29</xdr:row>
      <xdr:rowOff>25977</xdr:rowOff>
    </xdr:from>
    <xdr:to>
      <xdr:col>3</xdr:col>
      <xdr:colOff>176020</xdr:colOff>
      <xdr:row>35</xdr:row>
      <xdr:rowOff>180455</xdr:rowOff>
    </xdr:to>
    <xdr:sp macro="" textlink="">
      <xdr:nvSpPr>
        <xdr:cNvPr id="170" name="Rectangle 194"/>
        <xdr:cNvSpPr>
          <a:spLocks noChangeArrowheads="1"/>
        </xdr:cNvSpPr>
      </xdr:nvSpPr>
      <xdr:spPr bwMode="auto">
        <a:xfrm>
          <a:off x="1682417" y="5550477"/>
          <a:ext cx="779603" cy="1297478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2</xdr:col>
      <xdr:colOff>179460</xdr:colOff>
      <xdr:row>28</xdr:row>
      <xdr:rowOff>121757</xdr:rowOff>
    </xdr:from>
    <xdr:to>
      <xdr:col>3</xdr:col>
      <xdr:colOff>154978</xdr:colOff>
      <xdr:row>29</xdr:row>
      <xdr:rowOff>146410</xdr:rowOff>
    </xdr:to>
    <xdr:sp macro="" textlink="">
      <xdr:nvSpPr>
        <xdr:cNvPr id="171" name="CANA5"/>
        <xdr:cNvSpPr txBox="1">
          <a:spLocks noChangeArrowheads="1"/>
        </xdr:cNvSpPr>
      </xdr:nvSpPr>
      <xdr:spPr bwMode="auto">
        <a:xfrm>
          <a:off x="1703460" y="5455757"/>
          <a:ext cx="737518" cy="215153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PLAT. INSTITUCIONAL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305612</xdr:colOff>
      <xdr:row>30</xdr:row>
      <xdr:rowOff>46364</xdr:rowOff>
    </xdr:from>
    <xdr:to>
      <xdr:col>3</xdr:col>
      <xdr:colOff>28828</xdr:colOff>
      <xdr:row>31</xdr:row>
      <xdr:rowOff>31675</xdr:rowOff>
    </xdr:to>
    <xdr:sp macro="[0]!Hoja2.CANA51_Canales_PlatInstitucional_Intranet_Click" textlink="">
      <xdr:nvSpPr>
        <xdr:cNvPr id="172" name="CANA51"/>
        <xdr:cNvSpPr>
          <a:spLocks noChangeArrowheads="1"/>
        </xdr:cNvSpPr>
      </xdr:nvSpPr>
      <xdr:spPr bwMode="auto">
        <a:xfrm>
          <a:off x="1829612" y="5761364"/>
          <a:ext cx="485216" cy="175811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INTRANET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291777</xdr:colOff>
      <xdr:row>21</xdr:row>
      <xdr:rowOff>167167</xdr:rowOff>
    </xdr:from>
    <xdr:to>
      <xdr:col>3</xdr:col>
      <xdr:colOff>42662</xdr:colOff>
      <xdr:row>22</xdr:row>
      <xdr:rowOff>147202</xdr:rowOff>
    </xdr:to>
    <xdr:sp macro="[0]!Hoja2.CANA41_Canales_PlatAutoServicio_InternetPersonas_Click" textlink="">
      <xdr:nvSpPr>
        <xdr:cNvPr id="173" name="CANA41"/>
        <xdr:cNvSpPr>
          <a:spLocks noChangeArrowheads="1"/>
        </xdr:cNvSpPr>
      </xdr:nvSpPr>
      <xdr:spPr bwMode="auto">
        <a:xfrm>
          <a:off x="1815777" y="4167667"/>
          <a:ext cx="512885" cy="17053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INTERNET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PERSONAS</a:t>
          </a:r>
        </a:p>
      </xdr:txBody>
    </xdr:sp>
    <xdr:clientData/>
  </xdr:twoCellAnchor>
  <xdr:twoCellAnchor>
    <xdr:from>
      <xdr:col>2</xdr:col>
      <xdr:colOff>305612</xdr:colOff>
      <xdr:row>31</xdr:row>
      <xdr:rowOff>71895</xdr:rowOff>
    </xdr:from>
    <xdr:to>
      <xdr:col>3</xdr:col>
      <xdr:colOff>28828</xdr:colOff>
      <xdr:row>32</xdr:row>
      <xdr:rowOff>57206</xdr:rowOff>
    </xdr:to>
    <xdr:sp macro="[0]!Hoja2.CANA52_Canales_PlatInstitucional_Extranet_Click" textlink="">
      <xdr:nvSpPr>
        <xdr:cNvPr id="174" name="CANA52"/>
        <xdr:cNvSpPr>
          <a:spLocks noChangeArrowheads="1"/>
        </xdr:cNvSpPr>
      </xdr:nvSpPr>
      <xdr:spPr bwMode="auto">
        <a:xfrm>
          <a:off x="1829612" y="5977395"/>
          <a:ext cx="485216" cy="175811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EXTRANET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249469</xdr:colOff>
      <xdr:row>14</xdr:row>
      <xdr:rowOff>167732</xdr:rowOff>
    </xdr:from>
    <xdr:to>
      <xdr:col>3</xdr:col>
      <xdr:colOff>92550</xdr:colOff>
      <xdr:row>15</xdr:row>
      <xdr:rowOff>155864</xdr:rowOff>
    </xdr:to>
    <xdr:sp macro="[0]!Hoja2.CANA21_Canales_PlatBackOffice_Especializadas_Click" textlink="">
      <xdr:nvSpPr>
        <xdr:cNvPr id="175" name="CANA21"/>
        <xdr:cNvSpPr>
          <a:spLocks noChangeArrowheads="1"/>
        </xdr:cNvSpPr>
      </xdr:nvSpPr>
      <xdr:spPr bwMode="auto">
        <a:xfrm>
          <a:off x="1773469" y="2834732"/>
          <a:ext cx="605081" cy="17863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ESPECIALIZADAS</a:t>
          </a:r>
        </a:p>
      </xdr:txBody>
    </xdr:sp>
    <xdr:clientData/>
  </xdr:twoCellAnchor>
  <xdr:twoCellAnchor>
    <xdr:from>
      <xdr:col>2</xdr:col>
      <xdr:colOff>260513</xdr:colOff>
      <xdr:row>16</xdr:row>
      <xdr:rowOff>25976</xdr:rowOff>
    </xdr:from>
    <xdr:to>
      <xdr:col>3</xdr:col>
      <xdr:colOff>92551</xdr:colOff>
      <xdr:row>16</xdr:row>
      <xdr:rowOff>173177</xdr:rowOff>
    </xdr:to>
    <xdr:sp macro="[0]!Hoja2.CANA22_Canales_PlatBackOffice_BPM_Click" textlink="">
      <xdr:nvSpPr>
        <xdr:cNvPr id="176" name="CANA22"/>
        <xdr:cNvSpPr>
          <a:spLocks noChangeArrowheads="1"/>
        </xdr:cNvSpPr>
      </xdr:nvSpPr>
      <xdr:spPr bwMode="auto">
        <a:xfrm>
          <a:off x="1784513" y="3073976"/>
          <a:ext cx="594038" cy="147201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BPM</a:t>
          </a:r>
        </a:p>
      </xdr:txBody>
    </xdr:sp>
    <xdr:clientData/>
  </xdr:twoCellAnchor>
  <xdr:twoCellAnchor>
    <xdr:from>
      <xdr:col>2</xdr:col>
      <xdr:colOff>291777</xdr:colOff>
      <xdr:row>25</xdr:row>
      <xdr:rowOff>23367</xdr:rowOff>
    </xdr:from>
    <xdr:to>
      <xdr:col>3</xdr:col>
      <xdr:colOff>42662</xdr:colOff>
      <xdr:row>25</xdr:row>
      <xdr:rowOff>172098</xdr:rowOff>
    </xdr:to>
    <xdr:sp macro="[0]!Hoja2.CANA44_Canales_PlatAutoServicio_ATM_Click" textlink="">
      <xdr:nvSpPr>
        <xdr:cNvPr id="177" name="CANA44"/>
        <xdr:cNvSpPr>
          <a:spLocks noChangeArrowheads="1"/>
        </xdr:cNvSpPr>
      </xdr:nvSpPr>
      <xdr:spPr bwMode="auto">
        <a:xfrm>
          <a:off x="1815777" y="4785867"/>
          <a:ext cx="512885" cy="148731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ATM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291777</xdr:colOff>
      <xdr:row>26</xdr:row>
      <xdr:rowOff>30664</xdr:rowOff>
    </xdr:from>
    <xdr:to>
      <xdr:col>3</xdr:col>
      <xdr:colOff>42662</xdr:colOff>
      <xdr:row>26</xdr:row>
      <xdr:rowOff>179395</xdr:rowOff>
    </xdr:to>
    <xdr:sp macro="[0]!Hoja2.CANA45_Canales_PlatAutoServicio_TCR_Click" textlink="">
      <xdr:nvSpPr>
        <xdr:cNvPr id="178" name="CANA45"/>
        <xdr:cNvSpPr>
          <a:spLocks noChangeArrowheads="1"/>
        </xdr:cNvSpPr>
      </xdr:nvSpPr>
      <xdr:spPr bwMode="auto">
        <a:xfrm>
          <a:off x="1815777" y="4983664"/>
          <a:ext cx="512885" cy="148731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TCR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291777</xdr:colOff>
      <xdr:row>27</xdr:row>
      <xdr:rowOff>37427</xdr:rowOff>
    </xdr:from>
    <xdr:to>
      <xdr:col>3</xdr:col>
      <xdr:colOff>42662</xdr:colOff>
      <xdr:row>27</xdr:row>
      <xdr:rowOff>186158</xdr:rowOff>
    </xdr:to>
    <xdr:sp macro="[0]!Hoja2.CANA46_Canales_PlatAutoServicio_IVR_Click" textlink="">
      <xdr:nvSpPr>
        <xdr:cNvPr id="179" name="CANA46"/>
        <xdr:cNvSpPr>
          <a:spLocks noChangeArrowheads="1"/>
        </xdr:cNvSpPr>
      </xdr:nvSpPr>
      <xdr:spPr bwMode="auto">
        <a:xfrm>
          <a:off x="1815777" y="5180927"/>
          <a:ext cx="512885" cy="148731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IVR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305612</xdr:colOff>
      <xdr:row>32</xdr:row>
      <xdr:rowOff>97160</xdr:rowOff>
    </xdr:from>
    <xdr:to>
      <xdr:col>3</xdr:col>
      <xdr:colOff>28828</xdr:colOff>
      <xdr:row>33</xdr:row>
      <xdr:rowOff>82471</xdr:rowOff>
    </xdr:to>
    <xdr:sp macro="[0]!Hoja2.CANA53_Canales_PlatInstitucional_ERP_Click" textlink="">
      <xdr:nvSpPr>
        <xdr:cNvPr id="180" name="CANA53"/>
        <xdr:cNvSpPr>
          <a:spLocks noChangeArrowheads="1"/>
        </xdr:cNvSpPr>
      </xdr:nvSpPr>
      <xdr:spPr bwMode="auto">
        <a:xfrm>
          <a:off x="1829612" y="6193160"/>
          <a:ext cx="485216" cy="175811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ERP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305612</xdr:colOff>
      <xdr:row>34</xdr:row>
      <xdr:rowOff>128639</xdr:rowOff>
    </xdr:from>
    <xdr:to>
      <xdr:col>3</xdr:col>
      <xdr:colOff>28828</xdr:colOff>
      <xdr:row>35</xdr:row>
      <xdr:rowOff>113950</xdr:rowOff>
    </xdr:to>
    <xdr:sp macro="[0]!Hoja2.CANA55_Canales_PlatInstitucional_Especializadas_Click" textlink="">
      <xdr:nvSpPr>
        <xdr:cNvPr id="181" name="CANA55"/>
        <xdr:cNvSpPr>
          <a:spLocks noChangeArrowheads="1"/>
        </xdr:cNvSpPr>
      </xdr:nvSpPr>
      <xdr:spPr bwMode="auto">
        <a:xfrm>
          <a:off x="1829612" y="6605639"/>
          <a:ext cx="485216" cy="175811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ESPECIALES</a:t>
          </a:r>
        </a:p>
      </xdr:txBody>
    </xdr:sp>
    <xdr:clientData/>
  </xdr:twoCellAnchor>
  <xdr:twoCellAnchor>
    <xdr:from>
      <xdr:col>1</xdr:col>
      <xdr:colOff>114300</xdr:colOff>
      <xdr:row>24</xdr:row>
      <xdr:rowOff>158419</xdr:rowOff>
    </xdr:from>
    <xdr:to>
      <xdr:col>1</xdr:col>
      <xdr:colOff>685800</xdr:colOff>
      <xdr:row>26</xdr:row>
      <xdr:rowOff>158419</xdr:rowOff>
    </xdr:to>
    <xdr:sp macro="[0]!Hoja2.WORK6_Workstation_Especiales_Click" textlink="">
      <xdr:nvSpPr>
        <xdr:cNvPr id="182" name="WORK6"/>
        <xdr:cNvSpPr>
          <a:spLocks noChangeArrowheads="1"/>
        </xdr:cNvSpPr>
      </xdr:nvSpPr>
      <xdr:spPr bwMode="auto">
        <a:xfrm>
          <a:off x="876300" y="4730419"/>
          <a:ext cx="571500" cy="381000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ESPECIALES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291777</xdr:colOff>
      <xdr:row>24</xdr:row>
      <xdr:rowOff>23555</xdr:rowOff>
    </xdr:from>
    <xdr:to>
      <xdr:col>3</xdr:col>
      <xdr:colOff>42662</xdr:colOff>
      <xdr:row>24</xdr:row>
      <xdr:rowOff>172286</xdr:rowOff>
    </xdr:to>
    <xdr:sp macro="[0]!Hoja2.CANA43_Canales_PlatAutoServicio_Moviles_Click" textlink="">
      <xdr:nvSpPr>
        <xdr:cNvPr id="183" name="CANA43"/>
        <xdr:cNvSpPr>
          <a:spLocks noChangeArrowheads="1"/>
        </xdr:cNvSpPr>
      </xdr:nvSpPr>
      <xdr:spPr bwMode="auto">
        <a:xfrm>
          <a:off x="1815777" y="4595555"/>
          <a:ext cx="512885" cy="148731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FF00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MÓvILES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305612</xdr:colOff>
      <xdr:row>33</xdr:row>
      <xdr:rowOff>111432</xdr:rowOff>
    </xdr:from>
    <xdr:to>
      <xdr:col>3</xdr:col>
      <xdr:colOff>28828</xdr:colOff>
      <xdr:row>34</xdr:row>
      <xdr:rowOff>96743</xdr:rowOff>
    </xdr:to>
    <xdr:sp macro="[0]!Hoja2.CANA54_Canales_PlatInstitucional_VisualizadorBI_Click" textlink="">
      <xdr:nvSpPr>
        <xdr:cNvPr id="184" name="CANA54"/>
        <xdr:cNvSpPr>
          <a:spLocks noChangeArrowheads="1"/>
        </xdr:cNvSpPr>
      </xdr:nvSpPr>
      <xdr:spPr bwMode="auto">
        <a:xfrm>
          <a:off x="1829612" y="6397932"/>
          <a:ext cx="485216" cy="175811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VISUALIZADOR BI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6</xdr:col>
      <xdr:colOff>742517</xdr:colOff>
      <xdr:row>33</xdr:row>
      <xdr:rowOff>165760</xdr:rowOff>
    </xdr:from>
    <xdr:to>
      <xdr:col>8</xdr:col>
      <xdr:colOff>307297</xdr:colOff>
      <xdr:row>34</xdr:row>
      <xdr:rowOff>96156</xdr:rowOff>
    </xdr:to>
    <xdr:sp macro="" textlink="">
      <xdr:nvSpPr>
        <xdr:cNvPr id="185" name="HERR"/>
        <xdr:cNvSpPr txBox="1">
          <a:spLocks noChangeArrowheads="1"/>
        </xdr:cNvSpPr>
      </xdr:nvSpPr>
      <xdr:spPr bwMode="auto">
        <a:xfrm>
          <a:off x="5314517" y="6452260"/>
          <a:ext cx="1088780" cy="120896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SOPORTE TECNOLOGICO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4</xdr:col>
      <xdr:colOff>658307</xdr:colOff>
      <xdr:row>34</xdr:row>
      <xdr:rowOff>183273</xdr:rowOff>
    </xdr:from>
    <xdr:to>
      <xdr:col>5</xdr:col>
      <xdr:colOff>456084</xdr:colOff>
      <xdr:row>36</xdr:row>
      <xdr:rowOff>711</xdr:rowOff>
    </xdr:to>
    <xdr:sp macro="[0]!Hoja2.HERR1_Herramientas_Monitoreo_Click" textlink="">
      <xdr:nvSpPr>
        <xdr:cNvPr id="186" name="HERR1"/>
        <xdr:cNvSpPr>
          <a:spLocks noChangeArrowheads="1"/>
        </xdr:cNvSpPr>
      </xdr:nvSpPr>
      <xdr:spPr bwMode="auto">
        <a:xfrm>
          <a:off x="3706307" y="6660273"/>
          <a:ext cx="559777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MONITOREO</a:t>
          </a:r>
        </a:p>
      </xdr:txBody>
    </xdr:sp>
    <xdr:clientData/>
  </xdr:twoCellAnchor>
  <xdr:twoCellAnchor>
    <xdr:from>
      <xdr:col>5</xdr:col>
      <xdr:colOff>585473</xdr:colOff>
      <xdr:row>34</xdr:row>
      <xdr:rowOff>183273</xdr:rowOff>
    </xdr:from>
    <xdr:to>
      <xdr:col>6</xdr:col>
      <xdr:colOff>383250</xdr:colOff>
      <xdr:row>36</xdr:row>
      <xdr:rowOff>711</xdr:rowOff>
    </xdr:to>
    <xdr:sp macro="[0]!Hoja2.HERR2_Herramientas_TestYQA_Click" textlink="">
      <xdr:nvSpPr>
        <xdr:cNvPr id="187" name="HERR2"/>
        <xdr:cNvSpPr>
          <a:spLocks noChangeArrowheads="1"/>
        </xdr:cNvSpPr>
      </xdr:nvSpPr>
      <xdr:spPr bwMode="auto">
        <a:xfrm>
          <a:off x="4395473" y="6660273"/>
          <a:ext cx="559777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TEST &amp; QA</a:t>
          </a:r>
        </a:p>
      </xdr:txBody>
    </xdr:sp>
    <xdr:clientData/>
  </xdr:twoCellAnchor>
  <xdr:twoCellAnchor>
    <xdr:from>
      <xdr:col>6</xdr:col>
      <xdr:colOff>523628</xdr:colOff>
      <xdr:row>34</xdr:row>
      <xdr:rowOff>183273</xdr:rowOff>
    </xdr:from>
    <xdr:to>
      <xdr:col>7</xdr:col>
      <xdr:colOff>389780</xdr:colOff>
      <xdr:row>36</xdr:row>
      <xdr:rowOff>711</xdr:rowOff>
    </xdr:to>
    <xdr:sp macro="[0]!Hoja2.HERR3_Herramientas_AdministracionConfiguracion_Click" textlink="">
      <xdr:nvSpPr>
        <xdr:cNvPr id="188" name="HERR3"/>
        <xdr:cNvSpPr>
          <a:spLocks noChangeArrowheads="1"/>
        </xdr:cNvSpPr>
      </xdr:nvSpPr>
      <xdr:spPr bwMode="auto">
        <a:xfrm>
          <a:off x="5095628" y="6660273"/>
          <a:ext cx="628152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ADMINISTRACION CONFIGURACION</a:t>
          </a:r>
        </a:p>
      </xdr:txBody>
    </xdr:sp>
    <xdr:clientData/>
  </xdr:twoCellAnchor>
  <xdr:twoCellAnchor>
    <xdr:from>
      <xdr:col>9</xdr:col>
      <xdr:colOff>395284</xdr:colOff>
      <xdr:row>34</xdr:row>
      <xdr:rowOff>180098</xdr:rowOff>
    </xdr:from>
    <xdr:to>
      <xdr:col>10</xdr:col>
      <xdr:colOff>226778</xdr:colOff>
      <xdr:row>35</xdr:row>
      <xdr:rowOff>188036</xdr:rowOff>
    </xdr:to>
    <xdr:sp macro="[0]!Hoja2.HERR6_BackEndTecnologico_EvaluacionDeHerramientas_Click" textlink="">
      <xdr:nvSpPr>
        <xdr:cNvPr id="189" name="HERR6"/>
        <xdr:cNvSpPr>
          <a:spLocks noChangeArrowheads="1"/>
        </xdr:cNvSpPr>
      </xdr:nvSpPr>
      <xdr:spPr bwMode="auto">
        <a:xfrm>
          <a:off x="7253284" y="6657098"/>
          <a:ext cx="593494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EVALUACION DE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HERRAMIENTAS</a:t>
          </a:r>
        </a:p>
      </xdr:txBody>
    </xdr:sp>
    <xdr:clientData/>
  </xdr:twoCellAnchor>
  <xdr:twoCellAnchor>
    <xdr:from>
      <xdr:col>6</xdr:col>
      <xdr:colOff>568185</xdr:colOff>
      <xdr:row>28</xdr:row>
      <xdr:rowOff>66388</xdr:rowOff>
    </xdr:from>
    <xdr:to>
      <xdr:col>7</xdr:col>
      <xdr:colOff>367427</xdr:colOff>
      <xdr:row>29</xdr:row>
      <xdr:rowOff>74326</xdr:rowOff>
    </xdr:to>
    <xdr:sp macro="[0]!Hoja2.BACK83_BackEnd_Institucionales_GestionProyectos_Click" textlink="">
      <xdr:nvSpPr>
        <xdr:cNvPr id="190" name="BACK83"/>
        <xdr:cNvSpPr>
          <a:spLocks noChangeArrowheads="1"/>
        </xdr:cNvSpPr>
      </xdr:nvSpPr>
      <xdr:spPr bwMode="auto">
        <a:xfrm>
          <a:off x="5140185" y="5400388"/>
          <a:ext cx="561242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GESTION PROYECTOS</a:t>
          </a:r>
        </a:p>
      </xdr:txBody>
    </xdr:sp>
    <xdr:clientData/>
  </xdr:twoCellAnchor>
  <xdr:twoCellAnchor>
    <xdr:from>
      <xdr:col>7</xdr:col>
      <xdr:colOff>506952</xdr:colOff>
      <xdr:row>34</xdr:row>
      <xdr:rowOff>187755</xdr:rowOff>
    </xdr:from>
    <xdr:to>
      <xdr:col>8</xdr:col>
      <xdr:colOff>304729</xdr:colOff>
      <xdr:row>36</xdr:row>
      <xdr:rowOff>5193</xdr:rowOff>
    </xdr:to>
    <xdr:sp macro="[0]!Hoja2.HERR4_BackEndTecnologico_Desarrollo_Click" textlink="">
      <xdr:nvSpPr>
        <xdr:cNvPr id="191" name="HERR4"/>
        <xdr:cNvSpPr>
          <a:spLocks noChangeArrowheads="1"/>
        </xdr:cNvSpPr>
      </xdr:nvSpPr>
      <xdr:spPr bwMode="auto">
        <a:xfrm>
          <a:off x="5840952" y="6664755"/>
          <a:ext cx="559777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DESARROLLO</a:t>
          </a:r>
        </a:p>
      </xdr:txBody>
    </xdr:sp>
    <xdr:clientData/>
  </xdr:twoCellAnchor>
  <xdr:twoCellAnchor>
    <xdr:from>
      <xdr:col>8</xdr:col>
      <xdr:colOff>438766</xdr:colOff>
      <xdr:row>35</xdr:row>
      <xdr:rowOff>1737</xdr:rowOff>
    </xdr:from>
    <xdr:to>
      <xdr:col>9</xdr:col>
      <xdr:colOff>265200</xdr:colOff>
      <xdr:row>36</xdr:row>
      <xdr:rowOff>9675</xdr:rowOff>
    </xdr:to>
    <xdr:sp macro="[0]!Hoja2.HERR5_BackEndTecnologico_SoporteYAdministracion_Click" textlink="">
      <xdr:nvSpPr>
        <xdr:cNvPr id="192" name="HERR5"/>
        <xdr:cNvSpPr>
          <a:spLocks noChangeArrowheads="1"/>
        </xdr:cNvSpPr>
      </xdr:nvSpPr>
      <xdr:spPr bwMode="auto">
        <a:xfrm>
          <a:off x="6534766" y="6669237"/>
          <a:ext cx="588434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SOPORTE &amp; ADMINISTRACIÓN</a:t>
          </a:r>
        </a:p>
      </xdr:txBody>
    </xdr:sp>
    <xdr:clientData/>
  </xdr:twoCellAnchor>
  <xdr:twoCellAnchor>
    <xdr:from>
      <xdr:col>8</xdr:col>
      <xdr:colOff>484602</xdr:colOff>
      <xdr:row>31</xdr:row>
      <xdr:rowOff>170199</xdr:rowOff>
    </xdr:from>
    <xdr:to>
      <xdr:col>9</xdr:col>
      <xdr:colOff>282379</xdr:colOff>
      <xdr:row>32</xdr:row>
      <xdr:rowOff>178137</xdr:rowOff>
    </xdr:to>
    <xdr:sp macro="[0]!Hoja2.TECN5_BackEndTecnologicos_SWBasico_Click" textlink="">
      <xdr:nvSpPr>
        <xdr:cNvPr id="193" name="TECN5"/>
        <xdr:cNvSpPr>
          <a:spLocks noChangeArrowheads="1"/>
        </xdr:cNvSpPr>
      </xdr:nvSpPr>
      <xdr:spPr bwMode="auto">
        <a:xfrm>
          <a:off x="6580602" y="6075699"/>
          <a:ext cx="559777" cy="1984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SW BÁSICO</a:t>
          </a:r>
        </a:p>
      </xdr:txBody>
    </xdr:sp>
    <xdr:clientData/>
  </xdr:twoCellAnchor>
  <xdr:twoCellAnchor>
    <xdr:from>
      <xdr:col>2</xdr:col>
      <xdr:colOff>257337</xdr:colOff>
      <xdr:row>18</xdr:row>
      <xdr:rowOff>91926</xdr:rowOff>
    </xdr:from>
    <xdr:to>
      <xdr:col>3</xdr:col>
      <xdr:colOff>85887</xdr:colOff>
      <xdr:row>19</xdr:row>
      <xdr:rowOff>77930</xdr:rowOff>
    </xdr:to>
    <xdr:sp macro="[0]!Hoja2.CANA31_Canales_PlatDeCajas_AtencionCajas_Click" textlink="">
      <xdr:nvSpPr>
        <xdr:cNvPr id="194" name="CANA31"/>
        <xdr:cNvSpPr>
          <a:spLocks noChangeArrowheads="1"/>
        </xdr:cNvSpPr>
      </xdr:nvSpPr>
      <xdr:spPr bwMode="auto">
        <a:xfrm>
          <a:off x="1781337" y="3520926"/>
          <a:ext cx="590550" cy="176504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ATENCIÓN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CAJAS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179460</xdr:colOff>
      <xdr:row>13</xdr:row>
      <xdr:rowOff>65852</xdr:rowOff>
    </xdr:from>
    <xdr:to>
      <xdr:col>3</xdr:col>
      <xdr:colOff>154978</xdr:colOff>
      <xdr:row>14</xdr:row>
      <xdr:rowOff>90505</xdr:rowOff>
    </xdr:to>
    <xdr:sp macro="" textlink="">
      <xdr:nvSpPr>
        <xdr:cNvPr id="165" name="CANA2"/>
        <xdr:cNvSpPr txBox="1">
          <a:spLocks noChangeArrowheads="1"/>
        </xdr:cNvSpPr>
      </xdr:nvSpPr>
      <xdr:spPr bwMode="auto">
        <a:xfrm>
          <a:off x="1703460" y="2542352"/>
          <a:ext cx="737518" cy="215153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PLAT. BACK-OFFICE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</xdr:col>
      <xdr:colOff>675409</xdr:colOff>
      <xdr:row>0</xdr:row>
      <xdr:rowOff>34636</xdr:rowOff>
    </xdr:from>
    <xdr:to>
      <xdr:col>12</xdr:col>
      <xdr:colOff>70273</xdr:colOff>
      <xdr:row>3</xdr:row>
      <xdr:rowOff>111208</xdr:rowOff>
    </xdr:to>
    <xdr:sp macro="" textlink="">
      <xdr:nvSpPr>
        <xdr:cNvPr id="196" name="3 CuadroTexto"/>
        <xdr:cNvSpPr txBox="1"/>
      </xdr:nvSpPr>
      <xdr:spPr>
        <a:xfrm>
          <a:off x="1437409" y="34636"/>
          <a:ext cx="7776864" cy="648072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rtlCol="0">
          <a:noAutofit/>
        </a:bodyPr>
        <a:lstStyle>
          <a:defPPr>
            <a:defRPr lang="es-E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ES" sz="1200"/>
            <a:t>Marque los conceptos impactados por el proyecto en el mapa aplicativo. A continuación responda las preguntas del Formulario de Auto-evaluación. Dé click sobre cada concepto para variar entre Desarrollo o Modificación (rojo), Consumido (verde) y No Impactado. </a:t>
          </a:r>
          <a:r>
            <a:rPr lang="es-ES" sz="1200" b="1" kern="1200">
              <a:solidFill>
                <a:schemeClr val="dk1"/>
              </a:solidFill>
              <a:latin typeface="+mn-lt"/>
              <a:ea typeface="+mn-ea"/>
              <a:cs typeface="+mn-cs"/>
            </a:rPr>
            <a:t>Este esquema</a:t>
          </a:r>
          <a:r>
            <a:rPr lang="es-ES" sz="1200" b="1" kern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debe ser  el mismo que se  presenta en el Diagrama de Arquitectura.</a:t>
          </a:r>
          <a:endParaRPr lang="es-ES" b="1"/>
        </a:p>
      </xdr:txBody>
    </xdr:sp>
    <xdr:clientData/>
  </xdr:twoCellAnchor>
  <xdr:twoCellAnchor>
    <xdr:from>
      <xdr:col>2</xdr:col>
      <xdr:colOff>285751</xdr:colOff>
      <xdr:row>22</xdr:row>
      <xdr:rowOff>181838</xdr:rowOff>
    </xdr:from>
    <xdr:to>
      <xdr:col>3</xdr:col>
      <xdr:colOff>36636</xdr:colOff>
      <xdr:row>23</xdr:row>
      <xdr:rowOff>173179</xdr:rowOff>
    </xdr:to>
    <xdr:sp macro="[0]!Hoja2.CANA42_Canales_PlatAutoServicio_InternetEmpresas_Click" textlink="">
      <xdr:nvSpPr>
        <xdr:cNvPr id="197" name="CANA42"/>
        <xdr:cNvSpPr>
          <a:spLocks noChangeArrowheads="1"/>
        </xdr:cNvSpPr>
      </xdr:nvSpPr>
      <xdr:spPr bwMode="auto">
        <a:xfrm>
          <a:off x="1809751" y="4372838"/>
          <a:ext cx="512885" cy="181841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INTERNET EMPRESAS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2</xdr:col>
      <xdr:colOff>225141</xdr:colOff>
      <xdr:row>8</xdr:row>
      <xdr:rowOff>181835</xdr:rowOff>
    </xdr:from>
    <xdr:to>
      <xdr:col>3</xdr:col>
      <xdr:colOff>86590</xdr:colOff>
      <xdr:row>10</xdr:row>
      <xdr:rowOff>17318</xdr:rowOff>
    </xdr:to>
    <xdr:sp macro="[0]!Hoja2.CANA13_Canales_PlatAtClientes_FrontOfficeVentaEmpresas_Click" textlink="">
      <xdr:nvSpPr>
        <xdr:cNvPr id="198" name="CANA13"/>
        <xdr:cNvSpPr>
          <a:spLocks noChangeArrowheads="1"/>
        </xdr:cNvSpPr>
      </xdr:nvSpPr>
      <xdr:spPr bwMode="auto">
        <a:xfrm>
          <a:off x="1749141" y="1705835"/>
          <a:ext cx="623449" cy="216483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ES" sz="600" b="1" kern="0">
              <a:solidFill>
                <a:srgbClr val="000000"/>
              </a:solidFill>
              <a:latin typeface="Calibri" pitchFamily="34" charset="0"/>
              <a:cs typeface="Arial"/>
            </a:rPr>
            <a:t>FRONT OFFICE POST-VENTA PERSONAS</a:t>
          </a:r>
        </a:p>
      </xdr:txBody>
    </xdr:sp>
    <xdr:clientData/>
  </xdr:twoCellAnchor>
  <xdr:twoCellAnchor>
    <xdr:from>
      <xdr:col>2</xdr:col>
      <xdr:colOff>225142</xdr:colOff>
      <xdr:row>10</xdr:row>
      <xdr:rowOff>53128</xdr:rowOff>
    </xdr:from>
    <xdr:to>
      <xdr:col>3</xdr:col>
      <xdr:colOff>86591</xdr:colOff>
      <xdr:row>11</xdr:row>
      <xdr:rowOff>84793</xdr:rowOff>
    </xdr:to>
    <xdr:sp macro="[0]!Hoja2.CANA14_Canales_PlatAtClientes_FrontOfficePostVentaEmpresas_Click" textlink="">
      <xdr:nvSpPr>
        <xdr:cNvPr id="199" name="CANA14"/>
        <xdr:cNvSpPr>
          <a:spLocks noChangeArrowheads="1"/>
        </xdr:cNvSpPr>
      </xdr:nvSpPr>
      <xdr:spPr bwMode="auto">
        <a:xfrm>
          <a:off x="1749142" y="1958128"/>
          <a:ext cx="623449" cy="22216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FRONT OFFICE POST-VENTA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EMPRESAS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3</xdr:col>
      <xdr:colOff>511894</xdr:colOff>
      <xdr:row>9</xdr:row>
      <xdr:rowOff>190496</xdr:rowOff>
    </xdr:from>
    <xdr:to>
      <xdr:col>4</xdr:col>
      <xdr:colOff>328721</xdr:colOff>
      <xdr:row>11</xdr:row>
      <xdr:rowOff>15059</xdr:rowOff>
    </xdr:to>
    <xdr:sp macro="[0]!Hoja2.ONLI11_IntOline_ProcesosDeNegocios_Click" textlink="">
      <xdr:nvSpPr>
        <xdr:cNvPr id="200" name="ONLI11"/>
        <xdr:cNvSpPr txBox="1">
          <a:spLocks noChangeArrowheads="1"/>
        </xdr:cNvSpPr>
      </xdr:nvSpPr>
      <xdr:spPr bwMode="auto">
        <a:xfrm>
          <a:off x="2797894" y="1904996"/>
          <a:ext cx="578827" cy="205563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PROCESOS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DE</a:t>
          </a:r>
          <a:r>
            <a:rPr lang="es-CL" sz="600" b="1" kern="0" baseline="0">
              <a:solidFill>
                <a:srgbClr val="000000"/>
              </a:solidFill>
              <a:latin typeface="Calibri" pitchFamily="34" charset="0"/>
              <a:cs typeface="Arial"/>
            </a:rPr>
            <a:t> NEGOCIOS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3</xdr:col>
      <xdr:colOff>494576</xdr:colOff>
      <xdr:row>17</xdr:row>
      <xdr:rowOff>25959</xdr:rowOff>
    </xdr:from>
    <xdr:to>
      <xdr:col>4</xdr:col>
      <xdr:colOff>311403</xdr:colOff>
      <xdr:row>18</xdr:row>
      <xdr:rowOff>35966</xdr:rowOff>
    </xdr:to>
    <xdr:sp macro="[0]!Hoja2.ONLI16_IntOline_ComunicacionMediacion_Click" textlink="">
      <xdr:nvSpPr>
        <xdr:cNvPr id="201" name="ONLI16"/>
        <xdr:cNvSpPr txBox="1">
          <a:spLocks noChangeArrowheads="1"/>
        </xdr:cNvSpPr>
      </xdr:nvSpPr>
      <xdr:spPr bwMode="auto">
        <a:xfrm>
          <a:off x="2780576" y="3264459"/>
          <a:ext cx="578827" cy="200507"/>
        </a:xfrm>
        <a:prstGeom prst="rect">
          <a:avLst/>
        </a:prstGeom>
        <a:solidFill>
          <a:srgbClr val="CCECFF">
            <a:alpha val="26000"/>
          </a:srgbClr>
        </a:solidFill>
        <a:ln w="25400" cap="flat" cmpd="sng" algn="ctr">
          <a:solidFill>
            <a:srgbClr val="00FF00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COMUNICACION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(MEDIACION)</a:t>
          </a:r>
        </a:p>
      </xdr:txBody>
    </xdr:sp>
    <xdr:clientData/>
  </xdr:twoCellAnchor>
  <xdr:twoCellAnchor>
    <xdr:from>
      <xdr:col>5</xdr:col>
      <xdr:colOff>7500</xdr:colOff>
      <xdr:row>12</xdr:row>
      <xdr:rowOff>22456</xdr:rowOff>
    </xdr:from>
    <xdr:to>
      <xdr:col>5</xdr:col>
      <xdr:colOff>567277</xdr:colOff>
      <xdr:row>13</xdr:row>
      <xdr:rowOff>31981</xdr:rowOff>
    </xdr:to>
    <xdr:sp macro="[0]!Hoja2.BACK37_BackEnd_CashManagement_AltoValor_Click" textlink="">
      <xdr:nvSpPr>
        <xdr:cNvPr id="219" name="BACK37"/>
        <xdr:cNvSpPr>
          <a:spLocks noChangeArrowheads="1"/>
        </xdr:cNvSpPr>
      </xdr:nvSpPr>
      <xdr:spPr bwMode="auto">
        <a:xfrm>
          <a:off x="3817500" y="2308456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ALTO VALOR</a:t>
          </a:r>
        </a:p>
      </xdr:txBody>
    </xdr:sp>
    <xdr:clientData/>
  </xdr:twoCellAnchor>
  <xdr:twoCellAnchor>
    <xdr:from>
      <xdr:col>7</xdr:col>
      <xdr:colOff>606497</xdr:colOff>
      <xdr:row>12</xdr:row>
      <xdr:rowOff>22457</xdr:rowOff>
    </xdr:from>
    <xdr:to>
      <xdr:col>8</xdr:col>
      <xdr:colOff>405739</xdr:colOff>
      <xdr:row>13</xdr:row>
      <xdr:rowOff>31982</xdr:rowOff>
    </xdr:to>
    <xdr:sp macro="[0]!Hoja2.BACK47_BackEnd_Tesoreria_RentaFijaInternacional_Click" textlink="">
      <xdr:nvSpPr>
        <xdr:cNvPr id="223" name="BACK47"/>
        <xdr:cNvSpPr>
          <a:spLocks noChangeArrowheads="1"/>
        </xdr:cNvSpPr>
      </xdr:nvSpPr>
      <xdr:spPr bwMode="auto">
        <a:xfrm>
          <a:off x="5940497" y="2308457"/>
          <a:ext cx="561242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RENTA FIJA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INTERNACIONAL</a:t>
          </a:r>
        </a:p>
      </xdr:txBody>
    </xdr:sp>
    <xdr:clientData/>
  </xdr:twoCellAnchor>
  <xdr:twoCellAnchor>
    <xdr:from>
      <xdr:col>8</xdr:col>
      <xdr:colOff>503541</xdr:colOff>
      <xdr:row>12</xdr:row>
      <xdr:rowOff>22457</xdr:rowOff>
    </xdr:from>
    <xdr:to>
      <xdr:col>9</xdr:col>
      <xdr:colOff>301318</xdr:colOff>
      <xdr:row>13</xdr:row>
      <xdr:rowOff>31982</xdr:rowOff>
    </xdr:to>
    <xdr:sp macro="[0]!Hoja2.BACK48_BackEnd_Tesoreria_LíneasFinancieras_Click" textlink="">
      <xdr:nvSpPr>
        <xdr:cNvPr id="224" name="BACK48"/>
        <xdr:cNvSpPr>
          <a:spLocks noChangeArrowheads="1"/>
        </xdr:cNvSpPr>
      </xdr:nvSpPr>
      <xdr:spPr bwMode="auto">
        <a:xfrm>
          <a:off x="6599541" y="2308457"/>
          <a:ext cx="559777" cy="2000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LINEAS</a:t>
          </a:r>
        </a:p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FINANCIERAS</a:t>
          </a:r>
        </a:p>
      </xdr:txBody>
    </xdr:sp>
    <xdr:clientData/>
  </xdr:twoCellAnchor>
  <xdr:twoCellAnchor>
    <xdr:from>
      <xdr:col>10</xdr:col>
      <xdr:colOff>536858</xdr:colOff>
      <xdr:row>9</xdr:row>
      <xdr:rowOff>164525</xdr:rowOff>
    </xdr:from>
    <xdr:to>
      <xdr:col>11</xdr:col>
      <xdr:colOff>353685</xdr:colOff>
      <xdr:row>10</xdr:row>
      <xdr:rowOff>164525</xdr:rowOff>
    </xdr:to>
    <xdr:sp macro="[0]!Hoja2.BATC11_IntBatch_Mediacion_ETL_Click" textlink="">
      <xdr:nvSpPr>
        <xdr:cNvPr id="225" name="BATC11"/>
        <xdr:cNvSpPr txBox="1">
          <a:spLocks noChangeArrowheads="1"/>
        </xdr:cNvSpPr>
      </xdr:nvSpPr>
      <xdr:spPr bwMode="auto">
        <a:xfrm>
          <a:off x="8156858" y="1879025"/>
          <a:ext cx="578827" cy="190500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ETL</a:t>
          </a:r>
          <a:endParaRPr lang="es-ES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11</xdr:col>
      <xdr:colOff>684077</xdr:colOff>
      <xdr:row>5</xdr:row>
      <xdr:rowOff>141038</xdr:rowOff>
    </xdr:from>
    <xdr:to>
      <xdr:col>12</xdr:col>
      <xdr:colOff>562450</xdr:colOff>
      <xdr:row>8</xdr:row>
      <xdr:rowOff>173182</xdr:rowOff>
    </xdr:to>
    <xdr:sp macro="" textlink="">
      <xdr:nvSpPr>
        <xdr:cNvPr id="226" name="Rectangle 184"/>
        <xdr:cNvSpPr>
          <a:spLocks noChangeArrowheads="1"/>
        </xdr:cNvSpPr>
      </xdr:nvSpPr>
      <xdr:spPr bwMode="auto">
        <a:xfrm>
          <a:off x="9066077" y="1093538"/>
          <a:ext cx="640373" cy="603644"/>
        </a:xfrm>
        <a:prstGeom prst="rect">
          <a:avLst/>
        </a:prstGeom>
        <a:solidFill>
          <a:schemeClr val="bg1"/>
        </a:solidFill>
        <a:ln w="19050" algn="ctr">
          <a:solidFill>
            <a:srgbClr val="0070C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anchor="ctr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spcBef>
              <a:spcPts val="0"/>
            </a:spcBef>
            <a:spcAft>
              <a:spcPts val="0"/>
            </a:spcAft>
            <a:defRPr/>
          </a:pPr>
          <a:endParaRPr lang="es-ES" sz="700" kern="0">
            <a:solidFill>
              <a:sysClr val="windowText" lastClr="000000"/>
            </a:solidFill>
            <a:latin typeface="Calibri" pitchFamily="34" charset="0"/>
          </a:endParaRPr>
        </a:p>
      </xdr:txBody>
    </xdr:sp>
    <xdr:clientData/>
  </xdr:twoCellAnchor>
  <xdr:twoCellAnchor>
    <xdr:from>
      <xdr:col>11</xdr:col>
      <xdr:colOff>748770</xdr:colOff>
      <xdr:row>6</xdr:row>
      <xdr:rowOff>56898</xdr:rowOff>
    </xdr:from>
    <xdr:to>
      <xdr:col>12</xdr:col>
      <xdr:colOff>496724</xdr:colOff>
      <xdr:row>7</xdr:row>
      <xdr:rowOff>39436</xdr:rowOff>
    </xdr:to>
    <xdr:sp macro="[0]!Hoja2.GEST11_Gestion_DataWarehouse_Operacional_Click" textlink="">
      <xdr:nvSpPr>
        <xdr:cNvPr id="227" name="GEST11"/>
        <xdr:cNvSpPr>
          <a:spLocks noChangeArrowheads="1"/>
        </xdr:cNvSpPr>
      </xdr:nvSpPr>
      <xdr:spPr bwMode="auto">
        <a:xfrm>
          <a:off x="9130770" y="1199898"/>
          <a:ext cx="509954" cy="173038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OPERACIONAL</a:t>
          </a:r>
        </a:p>
      </xdr:txBody>
    </xdr:sp>
    <xdr:clientData/>
  </xdr:twoCellAnchor>
  <xdr:twoCellAnchor>
    <xdr:from>
      <xdr:col>11</xdr:col>
      <xdr:colOff>701386</xdr:colOff>
      <xdr:row>4</xdr:row>
      <xdr:rowOff>167456</xdr:rowOff>
    </xdr:from>
    <xdr:to>
      <xdr:col>12</xdr:col>
      <xdr:colOff>562841</xdr:colOff>
      <xdr:row>6</xdr:row>
      <xdr:rowOff>8659</xdr:rowOff>
    </xdr:to>
    <xdr:sp macro="" textlink="">
      <xdr:nvSpPr>
        <xdr:cNvPr id="228" name="GEST1"/>
        <xdr:cNvSpPr txBox="1">
          <a:spLocks noChangeArrowheads="1"/>
        </xdr:cNvSpPr>
      </xdr:nvSpPr>
      <xdr:spPr bwMode="auto">
        <a:xfrm>
          <a:off x="9083386" y="929456"/>
          <a:ext cx="623455" cy="222203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no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DATA</a:t>
          </a:r>
        </a:p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WAREHOUSE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11</xdr:col>
      <xdr:colOff>748770</xdr:colOff>
      <xdr:row>7</xdr:row>
      <xdr:rowOff>112461</xdr:rowOff>
    </xdr:from>
    <xdr:to>
      <xdr:col>12</xdr:col>
      <xdr:colOff>496724</xdr:colOff>
      <xdr:row>8</xdr:row>
      <xdr:rowOff>98173</xdr:rowOff>
    </xdr:to>
    <xdr:sp macro="[0]!Hoja2.GEST12_Gestion_DataWarehouse_Analitico_Click" textlink="">
      <xdr:nvSpPr>
        <xdr:cNvPr id="229" name="GEST12"/>
        <xdr:cNvSpPr>
          <a:spLocks noChangeArrowheads="1"/>
        </xdr:cNvSpPr>
      </xdr:nvSpPr>
      <xdr:spPr bwMode="auto">
        <a:xfrm>
          <a:off x="9130770" y="1445961"/>
          <a:ext cx="509954" cy="176212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ANALÍTICO</a:t>
          </a:r>
        </a:p>
      </xdr:txBody>
    </xdr:sp>
    <xdr:clientData/>
  </xdr:twoCellAnchor>
  <xdr:twoCellAnchor>
    <xdr:from>
      <xdr:col>12</xdr:col>
      <xdr:colOff>8643</xdr:colOff>
      <xdr:row>29</xdr:row>
      <xdr:rowOff>164523</xdr:rowOff>
    </xdr:from>
    <xdr:to>
      <xdr:col>12</xdr:col>
      <xdr:colOff>518597</xdr:colOff>
      <xdr:row>30</xdr:row>
      <xdr:rowOff>148648</xdr:rowOff>
    </xdr:to>
    <xdr:sp macro="[0]!Hoja2.GEST52_Gestion_Financiera_BIBancaComercial_Click" textlink="">
      <xdr:nvSpPr>
        <xdr:cNvPr id="230" name="GEST52"/>
        <xdr:cNvSpPr>
          <a:spLocks noChangeArrowheads="1"/>
        </xdr:cNvSpPr>
      </xdr:nvSpPr>
      <xdr:spPr bwMode="auto">
        <a:xfrm>
          <a:off x="9152643" y="5689023"/>
          <a:ext cx="509954" cy="174625"/>
        </a:xfrm>
        <a:prstGeom prst="rect">
          <a:avLst/>
        </a:prstGeom>
        <a:solidFill>
          <a:srgbClr val="CCECFF">
            <a:alpha val="26000"/>
          </a:srgbClr>
        </a:solidFill>
        <a:ln w="12700" cap="flat" cmpd="sng" algn="ctr">
          <a:solidFill>
            <a:srgbClr val="899DA2"/>
          </a:solidFill>
          <a:prstDash val="solid"/>
          <a:headEnd/>
          <a:tailEnd/>
        </a:ln>
        <a:effectLst/>
      </xdr:spPr>
      <xdr:txBody>
        <a:bodyPr wrap="square" lIns="0" tIns="0" rIns="0" bIns="0" anchor="ctr" anchorCtr="1"/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ctr" fontAlgn="auto">
            <a:lnSpc>
              <a:spcPct val="7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600" b="1" kern="0">
              <a:solidFill>
                <a:srgbClr val="000000"/>
              </a:solidFill>
              <a:latin typeface="Calibri" pitchFamily="34" charset="0"/>
              <a:cs typeface="Arial"/>
            </a:rPr>
            <a:t>BI</a:t>
          </a:r>
          <a:r>
            <a:rPr lang="es-CL" sz="600" b="1" kern="0" baseline="0">
              <a:solidFill>
                <a:srgbClr val="000000"/>
              </a:solidFill>
              <a:latin typeface="Calibri" pitchFamily="34" charset="0"/>
              <a:cs typeface="Arial"/>
            </a:rPr>
            <a:t> </a:t>
          </a:r>
          <a:endParaRPr lang="es-CL" sz="600" b="1" kern="0">
            <a:solidFill>
              <a:srgbClr val="000000"/>
            </a:solidFill>
            <a:latin typeface="Calibri" pitchFamily="34" charset="0"/>
            <a:cs typeface="Arial"/>
          </a:endParaRPr>
        </a:p>
      </xdr:txBody>
    </xdr:sp>
    <xdr:clientData/>
  </xdr:twoCellAnchor>
  <xdr:twoCellAnchor>
    <xdr:from>
      <xdr:col>8</xdr:col>
      <xdr:colOff>707379</xdr:colOff>
      <xdr:row>19</xdr:row>
      <xdr:rowOff>147262</xdr:rowOff>
    </xdr:from>
    <xdr:to>
      <xdr:col>9</xdr:col>
      <xdr:colOff>581483</xdr:colOff>
      <xdr:row>20</xdr:row>
      <xdr:rowOff>73426</xdr:rowOff>
    </xdr:to>
    <xdr:sp macro="" textlink="">
      <xdr:nvSpPr>
        <xdr:cNvPr id="205" name="GEST5"/>
        <xdr:cNvSpPr txBox="1">
          <a:spLocks noChangeArrowheads="1"/>
        </xdr:cNvSpPr>
      </xdr:nvSpPr>
      <xdr:spPr bwMode="auto">
        <a:xfrm>
          <a:off x="9089379" y="5290762"/>
          <a:ext cx="636104" cy="116664"/>
        </a:xfrm>
        <a:prstGeom prst="rect">
          <a:avLst/>
        </a:prstGeom>
        <a:ln>
          <a:headEnd/>
          <a:tailEnd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18000" tIns="18000" rIns="18000" bIns="0" anchor="ctr" anchorCtr="1">
          <a:spAutoFit/>
        </a:bodyPr>
        <a:lstStyle>
          <a:defPPr>
            <a:defRPr lang="es-CL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fontAlgn="auto">
            <a:lnSpc>
              <a:spcPct val="80000"/>
            </a:lnSpc>
            <a:spcBef>
              <a:spcPts val="0"/>
            </a:spcBef>
            <a:spcAft>
              <a:spcPts val="0"/>
            </a:spcAft>
            <a:defRPr/>
          </a:pPr>
          <a:r>
            <a:rPr lang="es-CL" sz="800" b="1" kern="0">
              <a:effectLst>
                <a:outerShdw blurRad="38100" dist="38100" dir="2700000" algn="tl">
                  <a:srgbClr val="FFFFFF"/>
                </a:outerShdw>
              </a:effectLst>
              <a:latin typeface="Calibri" pitchFamily="34" charset="0"/>
              <a:cs typeface="Arial"/>
            </a:rPr>
            <a:t>ESTRATEGICA</a:t>
          </a:r>
          <a:endParaRPr lang="es-ES" sz="800" b="1" kern="0">
            <a:effectLst>
              <a:outerShdw blurRad="38100" dist="38100" dir="2700000" algn="tl">
                <a:srgbClr val="FFFFFF"/>
              </a:outerShdw>
            </a:effectLst>
            <a:latin typeface="Calibri" pitchFamily="34" charset="0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180975</xdr:rowOff>
    </xdr:from>
    <xdr:to>
      <xdr:col>3</xdr:col>
      <xdr:colOff>257175</xdr:colOff>
      <xdr:row>2</xdr:row>
      <xdr:rowOff>104775</xdr:rowOff>
    </xdr:to>
    <xdr:pic>
      <xdr:nvPicPr>
        <xdr:cNvPr id="2" name="Picture 1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-18000"/>
        </a:blip>
        <a:srcRect/>
        <a:stretch>
          <a:fillRect/>
        </a:stretch>
      </xdr:blipFill>
      <xdr:spPr bwMode="auto">
        <a:xfrm>
          <a:off x="238125" y="180975"/>
          <a:ext cx="1895475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P124"/>
  <sheetViews>
    <sheetView showGridLines="0" topLeftCell="A16" zoomScale="110" zoomScaleNormal="110" workbookViewId="0">
      <selection activeCell="N12" sqref="N12"/>
    </sheetView>
  </sheetViews>
  <sheetFormatPr baseColWidth="10" defaultRowHeight="15" x14ac:dyDescent="0.25"/>
  <sheetData>
    <row r="1" spans="1:16" x14ac:dyDescent="0.25">
      <c r="A1" s="31" t="s">
        <v>117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x14ac:dyDescent="0.2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</row>
    <row r="5" spans="1:16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</row>
    <row r="6" spans="1:16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</row>
    <row r="7" spans="1:16" x14ac:dyDescent="0.25">
      <c r="A7" s="85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</row>
    <row r="8" spans="1:16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</row>
    <row r="9" spans="1:16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</row>
    <row r="10" spans="1:16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</row>
    <row r="11" spans="1:16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</row>
    <row r="12" spans="1:16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</row>
    <row r="13" spans="1:16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</row>
    <row r="14" spans="1:16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</row>
    <row r="15" spans="1:16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</row>
    <row r="16" spans="1:16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</row>
    <row r="17" spans="1:16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</row>
    <row r="18" spans="1:16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</row>
    <row r="19" spans="1:16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</row>
    <row r="20" spans="1:16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</row>
    <row r="21" spans="1:16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</row>
    <row r="22" spans="1:16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</row>
    <row r="23" spans="1:16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</row>
    <row r="24" spans="1:16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</row>
    <row r="25" spans="1:16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</row>
    <row r="26" spans="1:16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</row>
    <row r="27" spans="1:16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</row>
    <row r="28" spans="1:16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</row>
    <row r="29" spans="1:16" x14ac:dyDescent="0.25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</row>
    <row r="30" spans="1:16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</row>
    <row r="31" spans="1:16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</row>
    <row r="32" spans="1:16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</row>
    <row r="33" spans="1:16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</row>
    <row r="34" spans="1:16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</row>
    <row r="35" spans="1:16" x14ac:dyDescent="0.25">
      <c r="A35" s="31" t="s">
        <v>117</v>
      </c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</row>
    <row r="36" spans="1:16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</row>
    <row r="37" spans="1:16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</row>
    <row r="38" spans="1:16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</row>
    <row r="39" spans="1:16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</row>
    <row r="40" spans="1:16" x14ac:dyDescent="0.2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</row>
    <row r="41" spans="1:16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</row>
    <row r="42" spans="1:16" x14ac:dyDescent="0.2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</row>
    <row r="43" spans="1:16" x14ac:dyDescent="0.2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</row>
    <row r="44" spans="1:16" x14ac:dyDescent="0.25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</row>
    <row r="45" spans="1:16" x14ac:dyDescent="0.25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</row>
    <row r="46" spans="1:16" x14ac:dyDescent="0.25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</row>
    <row r="47" spans="1:16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</row>
    <row r="48" spans="1:16" x14ac:dyDescent="0.2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</row>
    <row r="49" spans="1:16" x14ac:dyDescent="0.2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</row>
    <row r="50" spans="1:16" x14ac:dyDescent="0.2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</row>
    <row r="51" spans="1:16" x14ac:dyDescent="0.2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</row>
    <row r="52" spans="1:16" x14ac:dyDescent="0.2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</row>
    <row r="53" spans="1:16" x14ac:dyDescent="0.2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</row>
    <row r="54" spans="1:16" x14ac:dyDescent="0.2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</row>
    <row r="55" spans="1:16" x14ac:dyDescent="0.2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</row>
    <row r="56" spans="1:16" x14ac:dyDescent="0.2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</row>
    <row r="57" spans="1:16" x14ac:dyDescent="0.2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</row>
    <row r="58" spans="1:16" x14ac:dyDescent="0.2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</row>
    <row r="59" spans="1:16" x14ac:dyDescent="0.2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</row>
    <row r="60" spans="1:16" x14ac:dyDescent="0.25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</row>
    <row r="61" spans="1:16" x14ac:dyDescent="0.2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</row>
    <row r="62" spans="1:16" x14ac:dyDescent="0.2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</row>
    <row r="63" spans="1:16" x14ac:dyDescent="0.2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</row>
    <row r="64" spans="1:16" x14ac:dyDescent="0.2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</row>
    <row r="65" spans="1:16" x14ac:dyDescent="0.2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</row>
    <row r="66" spans="1:16" x14ac:dyDescent="0.2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</row>
    <row r="67" spans="1:16" x14ac:dyDescent="0.2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</row>
    <row r="68" spans="1:16" x14ac:dyDescent="0.2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</row>
    <row r="69" spans="1:16" x14ac:dyDescent="0.2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</row>
    <row r="70" spans="1:16" x14ac:dyDescent="0.2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</row>
    <row r="71" spans="1:16" x14ac:dyDescent="0.2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</row>
    <row r="72" spans="1:16" x14ac:dyDescent="0.2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</row>
    <row r="73" spans="1:16" x14ac:dyDescent="0.2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</row>
    <row r="74" spans="1:16" x14ac:dyDescent="0.2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</row>
    <row r="75" spans="1:16" x14ac:dyDescent="0.2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</row>
    <row r="76" spans="1:16" x14ac:dyDescent="0.2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</row>
    <row r="77" spans="1:16" x14ac:dyDescent="0.2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</row>
    <row r="78" spans="1:16" x14ac:dyDescent="0.2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</row>
    <row r="79" spans="1:16" x14ac:dyDescent="0.2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</row>
    <row r="80" spans="1:16" x14ac:dyDescent="0.2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</row>
    <row r="81" spans="1:16" x14ac:dyDescent="0.2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</row>
    <row r="82" spans="1:16" x14ac:dyDescent="0.2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</row>
    <row r="83" spans="1:16" x14ac:dyDescent="0.2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</row>
    <row r="84" spans="1:16" x14ac:dyDescent="0.2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</row>
    <row r="85" spans="1:16" x14ac:dyDescent="0.2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</row>
    <row r="86" spans="1:16" x14ac:dyDescent="0.2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</row>
    <row r="87" spans="1:16" x14ac:dyDescent="0.2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</row>
    <row r="88" spans="1:16" x14ac:dyDescent="0.25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</row>
    <row r="89" spans="1:16" x14ac:dyDescent="0.2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</row>
    <row r="90" spans="1:16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</row>
    <row r="91" spans="1:16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</row>
    <row r="92" spans="1:16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</row>
    <row r="93" spans="1:16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</row>
    <row r="94" spans="1:16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</row>
    <row r="95" spans="1:16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</row>
    <row r="96" spans="1:16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</row>
    <row r="97" spans="1:16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</row>
    <row r="98" spans="1:16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</row>
    <row r="99" spans="1:16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</row>
    <row r="100" spans="1:16" x14ac:dyDescent="0.25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</row>
    <row r="101" spans="1:16" x14ac:dyDescent="0.25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</row>
    <row r="102" spans="1:16" x14ac:dyDescent="0.25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</row>
    <row r="103" spans="1:16" x14ac:dyDescent="0.25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</row>
    <row r="104" spans="1:16" x14ac:dyDescent="0.2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</row>
    <row r="105" spans="1:16" x14ac:dyDescent="0.25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</row>
    <row r="106" spans="1:16" x14ac:dyDescent="0.25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</row>
    <row r="107" spans="1:16" x14ac:dyDescent="0.25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</row>
    <row r="108" spans="1:16" x14ac:dyDescent="0.25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</row>
    <row r="109" spans="1:16" x14ac:dyDescent="0.25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</row>
    <row r="110" spans="1:16" x14ac:dyDescent="0.25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</row>
    <row r="111" spans="1:16" x14ac:dyDescent="0.25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</row>
    <row r="112" spans="1:16" x14ac:dyDescent="0.2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</row>
    <row r="113" spans="1:16" x14ac:dyDescent="0.2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</row>
    <row r="114" spans="1:16" x14ac:dyDescent="0.2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</row>
    <row r="115" spans="1:16" x14ac:dyDescent="0.2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</row>
    <row r="116" spans="1:16" x14ac:dyDescent="0.2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</row>
    <row r="117" spans="1:16" x14ac:dyDescent="0.2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</row>
    <row r="118" spans="1:16" x14ac:dyDescent="0.2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</row>
    <row r="119" spans="1:16" x14ac:dyDescent="0.2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</row>
    <row r="120" spans="1:16" x14ac:dyDescent="0.2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</row>
    <row r="121" spans="1:16" x14ac:dyDescent="0.2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</row>
    <row r="122" spans="1:16" x14ac:dyDescent="0.25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</row>
    <row r="123" spans="1:16" x14ac:dyDescent="0.25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</row>
    <row r="124" spans="1:16" x14ac:dyDescent="0.2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</row>
  </sheetData>
  <pageMargins left="0" right="0" top="0" bottom="0" header="0.31496062992125984" footer="0.31496062992125984"/>
  <pageSetup scale="9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H27"/>
  <sheetViews>
    <sheetView topLeftCell="C1" zoomScale="80" zoomScaleNormal="80" workbookViewId="0">
      <selection activeCell="I13" sqref="I13"/>
    </sheetView>
  </sheetViews>
  <sheetFormatPr baseColWidth="10" defaultColWidth="24" defaultRowHeight="12" customHeight="1" x14ac:dyDescent="0.2"/>
  <cols>
    <col min="1" max="1" width="1.5703125" style="47" customWidth="1"/>
    <col min="2" max="2" width="23.5703125" style="47" customWidth="1"/>
    <col min="3" max="3" width="2.5703125" style="47" customWidth="1"/>
    <col min="4" max="4" width="24" style="47"/>
    <col min="5" max="5" width="2.28515625" style="47" customWidth="1"/>
    <col min="6" max="6" width="20.42578125" style="47" customWidth="1"/>
    <col min="7" max="7" width="2" style="47" customWidth="1"/>
    <col min="8" max="8" width="17.7109375" style="47" customWidth="1"/>
    <col min="9" max="9" width="2.42578125" style="47" customWidth="1"/>
    <col min="10" max="10" width="18.28515625" style="47" customWidth="1"/>
    <col min="11" max="11" width="2.28515625" style="47" customWidth="1"/>
    <col min="12" max="12" width="15.140625" style="47" customWidth="1"/>
    <col min="13" max="13" width="2.5703125" style="47" customWidth="1"/>
    <col min="14" max="14" width="19" style="47" customWidth="1"/>
    <col min="15" max="15" width="2.7109375" style="47" customWidth="1"/>
    <col min="16" max="16" width="16.5703125" style="47" customWidth="1"/>
    <col min="17" max="17" width="2.140625" style="47" customWidth="1"/>
    <col min="18" max="18" width="15.140625" style="47" customWidth="1"/>
    <col min="19" max="19" width="2.28515625" style="47" customWidth="1"/>
    <col min="20" max="20" width="24" style="47"/>
    <col min="21" max="21" width="2.28515625" style="47" customWidth="1"/>
    <col min="22" max="22" width="24" style="47"/>
    <col min="23" max="23" width="2.28515625" style="47" customWidth="1"/>
    <col min="24" max="24" width="2.7109375" style="47" customWidth="1"/>
    <col min="25" max="16384" width="24" style="47"/>
  </cols>
  <sheetData>
    <row r="1" spans="1:24" ht="12" customHeight="1" thickBot="1" x14ac:dyDescent="0.25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12" customHeight="1" thickBot="1" x14ac:dyDescent="0.25">
      <c r="A2" s="59"/>
      <c r="B2" s="72" t="s">
        <v>0</v>
      </c>
      <c r="C2" s="79" t="str">
        <f>IF(OR(C3="I",C4="I",C5="I",C6="I",C10="I",C18="I"),"I",IF(OR(C3="C",C4="C",C5="C",C6="C",C10="C",C18="C"),"C","N"))</f>
        <v>N</v>
      </c>
      <c r="D2" s="73" t="s">
        <v>1</v>
      </c>
      <c r="E2" s="79" t="str">
        <f>IF(OR(E3="I",E4="I",E9="I",E12="I",E14="I",E21="I"),"I",IF(OR(E3="C",E4="C",E9="C",E12="C",E14="C",E21="C"),"C","N"))</f>
        <v>I</v>
      </c>
      <c r="F2" s="74" t="s">
        <v>231</v>
      </c>
      <c r="G2" s="79" t="str">
        <f>IF(OR(G3="I",G10="I",G13="I"),"I",IF(OR(G3="C",G10="C",G13="C"),"C","N"))</f>
        <v>C</v>
      </c>
      <c r="H2" s="75" t="s">
        <v>239</v>
      </c>
      <c r="I2" s="79" t="str">
        <f>IF(OR(I3="I",O3="I",I6="I",O6="I",I10="I",I15="I",I17="I",I20="I",I22="I",I24="I"),"I",IF(OR(I3="C",O3="C",I6="C",O6="C",I10="C",I15="C",I17="C",I20="C",I22="C",I24="C"),"C","N"))</f>
        <v>C</v>
      </c>
      <c r="J2" s="62"/>
      <c r="K2" s="62"/>
      <c r="L2" s="62"/>
      <c r="M2" s="62"/>
      <c r="N2" s="62"/>
      <c r="O2" s="62"/>
      <c r="P2" s="62"/>
      <c r="Q2" s="62"/>
      <c r="R2" s="62"/>
      <c r="S2" s="63"/>
      <c r="T2" s="72" t="s">
        <v>264</v>
      </c>
      <c r="U2" s="79" t="str">
        <f>IF(OR(U3="I",U9="I"),"I",IF(OR(U3="C",U9="C"),"C","N"))</f>
        <v>N</v>
      </c>
      <c r="V2" s="72" t="s">
        <v>265</v>
      </c>
      <c r="W2" s="79" t="str">
        <f>IF(OR(W3="I",W6="I",W11="I",W17="I",W20="I"),"I",IF(OR(W3="C",W6="C",W11="C",W17="C",Y23="C"),"C","N"))</f>
        <v>C</v>
      </c>
      <c r="X2" s="59"/>
    </row>
    <row r="3" spans="1:24" ht="12" customHeight="1" thickBot="1" x14ac:dyDescent="0.25">
      <c r="A3" s="59"/>
      <c r="B3" s="76" t="s">
        <v>3</v>
      </c>
      <c r="C3" s="81" t="s">
        <v>4</v>
      </c>
      <c r="D3" s="77" t="s">
        <v>2</v>
      </c>
      <c r="E3" s="48" t="str">
        <f>IF(OR(E4="I",E5="I",E6="I",E7="I",E8="I"),"I",IF(OR(E4="C",E5="C",E6="C",E7="C",E8="C"),"C","N"))</f>
        <v>N</v>
      </c>
      <c r="F3" s="78" t="s">
        <v>48</v>
      </c>
      <c r="G3" s="48" t="str">
        <f>IF(OR(G4="I",G5="I",G6="I",G7="I",G8="I",G9="I"),"I",IF(OR(G4="C",G5="C",G6="C",G7="C",G8="C",G9="C"),"C","N"))</f>
        <v>C</v>
      </c>
      <c r="H3" s="77" t="s">
        <v>6</v>
      </c>
      <c r="I3" s="48" t="str">
        <f>IF(OR(I4="I",I5="I",K4="I",K5="I",M4="I",M5="I"),"I",IF(OR(I4="C",I5="C",K4="C",K5="C",M4="C",M5="C"),"C","N"))</f>
        <v>C</v>
      </c>
      <c r="J3" s="59"/>
      <c r="K3" s="59"/>
      <c r="L3" s="59"/>
      <c r="M3" s="59"/>
      <c r="N3" s="77" t="s">
        <v>7</v>
      </c>
      <c r="O3" s="48" t="str">
        <f>IF(OR(O4="I",O5="I",Q4="I",Q5="I"),"I",IF(OR(O4="C",O5="C",Q4="C",Q5="C"),"C","N"))</f>
        <v>C</v>
      </c>
      <c r="P3" s="59"/>
      <c r="Q3" s="59"/>
      <c r="R3" s="59"/>
      <c r="S3" s="64"/>
      <c r="T3" s="77" t="s">
        <v>5</v>
      </c>
      <c r="U3" s="48" t="str">
        <f>IF(OR(U4="I",U5="I",U6="I",U7="I",U8="I"),"I",IF(OR(U4="C",U5="C",U6="C",U7="C",U8="C"),"C","N"))</f>
        <v>N</v>
      </c>
      <c r="V3" s="77" t="s">
        <v>266</v>
      </c>
      <c r="W3" s="48" t="str">
        <f>IF(OR(W4="I",W5="I"),"I",IF(OR(W4="C",W5="C"),"C","N"))</f>
        <v>N</v>
      </c>
      <c r="X3" s="59"/>
    </row>
    <row r="4" spans="1:24" ht="12" customHeight="1" thickBot="1" x14ac:dyDescent="0.25">
      <c r="A4" s="59"/>
      <c r="B4" s="76" t="s">
        <v>220</v>
      </c>
      <c r="C4" s="81" t="s">
        <v>4</v>
      </c>
      <c r="D4" s="49" t="s">
        <v>216</v>
      </c>
      <c r="E4" s="81" t="s">
        <v>4</v>
      </c>
      <c r="F4" s="56" t="s">
        <v>232</v>
      </c>
      <c r="G4" s="81" t="s">
        <v>4</v>
      </c>
      <c r="H4" s="57" t="s">
        <v>10</v>
      </c>
      <c r="I4" s="130" t="s">
        <v>306</v>
      </c>
      <c r="J4" s="51" t="s">
        <v>11</v>
      </c>
      <c r="K4" s="81" t="s">
        <v>4</v>
      </c>
      <c r="L4" s="51" t="s">
        <v>12</v>
      </c>
      <c r="M4" s="131" t="s">
        <v>306</v>
      </c>
      <c r="N4" s="57" t="s">
        <v>13</v>
      </c>
      <c r="O4" s="130" t="s">
        <v>306</v>
      </c>
      <c r="P4" s="51" t="s">
        <v>14</v>
      </c>
      <c r="Q4" s="130" t="s">
        <v>306</v>
      </c>
      <c r="R4" s="59"/>
      <c r="S4" s="64"/>
      <c r="T4" s="68" t="s">
        <v>8</v>
      </c>
      <c r="U4" s="81" t="s">
        <v>4</v>
      </c>
      <c r="V4" s="70" t="s">
        <v>269</v>
      </c>
      <c r="W4" s="81" t="s">
        <v>4</v>
      </c>
      <c r="X4" s="59"/>
    </row>
    <row r="5" spans="1:24" ht="12" customHeight="1" thickBot="1" x14ac:dyDescent="0.25">
      <c r="A5" s="59"/>
      <c r="B5" s="76" t="s">
        <v>16</v>
      </c>
      <c r="C5" s="81" t="s">
        <v>4</v>
      </c>
      <c r="D5" s="49" t="s">
        <v>217</v>
      </c>
      <c r="E5" s="81" t="s">
        <v>4</v>
      </c>
      <c r="F5" s="56" t="s">
        <v>233</v>
      </c>
      <c r="G5" s="130" t="s">
        <v>306</v>
      </c>
      <c r="H5" s="53" t="s">
        <v>18</v>
      </c>
      <c r="I5" s="81" t="s">
        <v>4</v>
      </c>
      <c r="J5" s="54" t="s">
        <v>19</v>
      </c>
      <c r="K5" s="81" t="s">
        <v>4</v>
      </c>
      <c r="L5" s="54" t="s">
        <v>20</v>
      </c>
      <c r="M5" s="81" t="s">
        <v>4</v>
      </c>
      <c r="N5" s="53" t="s">
        <v>21</v>
      </c>
      <c r="O5" s="130" t="s">
        <v>306</v>
      </c>
      <c r="P5" s="54" t="s">
        <v>22</v>
      </c>
      <c r="Q5" s="130" t="s">
        <v>306</v>
      </c>
      <c r="R5" s="59"/>
      <c r="S5" s="64"/>
      <c r="T5" s="68" t="s">
        <v>49</v>
      </c>
      <c r="U5" s="81" t="s">
        <v>4</v>
      </c>
      <c r="V5" s="71" t="s">
        <v>267</v>
      </c>
      <c r="W5" s="81" t="s">
        <v>4</v>
      </c>
      <c r="X5" s="59"/>
    </row>
    <row r="6" spans="1:24" ht="12" customHeight="1" thickBot="1" x14ac:dyDescent="0.25">
      <c r="A6" s="59"/>
      <c r="B6" s="77" t="s">
        <v>24</v>
      </c>
      <c r="C6" s="81" t="s">
        <v>4</v>
      </c>
      <c r="D6" s="49" t="s">
        <v>228</v>
      </c>
      <c r="E6" s="81" t="s">
        <v>4</v>
      </c>
      <c r="F6" s="56" t="s">
        <v>234</v>
      </c>
      <c r="G6" s="130" t="s">
        <v>306</v>
      </c>
      <c r="H6" s="77" t="s">
        <v>28</v>
      </c>
      <c r="I6" s="48" t="str">
        <f>IF(OR(I7="I",I8="I",K7="I",K8="I",M7="I",M8="I",I9="I"),"I",IF(OR(I7="C",I8="C",K7="C",K8="C",M7="C",M8="C",I9="C"),"C","N"))</f>
        <v>C</v>
      </c>
      <c r="J6" s="59"/>
      <c r="K6" s="59"/>
      <c r="L6" s="59"/>
      <c r="M6" s="59"/>
      <c r="N6" s="77" t="s">
        <v>29</v>
      </c>
      <c r="O6" s="48" t="str">
        <f>IF(OR(O7="I",O8="I",Q7="I",Q8="I",S7="I",S8="I",O9="I",Q9="I"),"I",IF(OR(O7="C",O8="C",Q7="C",Q8="C",S7="C",S8="C",O9="C",Q9="I"),"C","N"))</f>
        <v>N</v>
      </c>
      <c r="P6" s="59"/>
      <c r="Q6" s="59"/>
      <c r="R6" s="59"/>
      <c r="S6" s="64"/>
      <c r="T6" s="68" t="s">
        <v>57</v>
      </c>
      <c r="U6" s="81" t="s">
        <v>4</v>
      </c>
      <c r="V6" s="77" t="s">
        <v>9</v>
      </c>
      <c r="W6" s="48" t="str">
        <f>IF(OR(W7="I",W8="I",W9="I",W10="I"),"I",IF(OR(W7="C",W8="C",W9="C",W10="C"),"C","N"))</f>
        <v>N</v>
      </c>
      <c r="X6" s="59"/>
    </row>
    <row r="7" spans="1:24" ht="12" customHeight="1" thickBot="1" x14ac:dyDescent="0.25">
      <c r="A7" s="59"/>
      <c r="B7" s="49" t="s">
        <v>26</v>
      </c>
      <c r="C7" s="48"/>
      <c r="D7" s="49" t="s">
        <v>229</v>
      </c>
      <c r="E7" s="81" t="s">
        <v>4</v>
      </c>
      <c r="F7" s="56" t="s">
        <v>235</v>
      </c>
      <c r="G7" s="130" t="s">
        <v>306</v>
      </c>
      <c r="H7" s="57" t="s">
        <v>33</v>
      </c>
      <c r="I7" s="82" t="s">
        <v>4</v>
      </c>
      <c r="J7" s="51" t="s">
        <v>34</v>
      </c>
      <c r="K7" s="82" t="s">
        <v>4</v>
      </c>
      <c r="L7" s="52" t="s">
        <v>35</v>
      </c>
      <c r="M7" s="131" t="s">
        <v>306</v>
      </c>
      <c r="N7" s="57" t="s">
        <v>241</v>
      </c>
      <c r="O7" s="81" t="s">
        <v>4</v>
      </c>
      <c r="P7" s="51" t="s">
        <v>36</v>
      </c>
      <c r="Q7" s="81" t="s">
        <v>4</v>
      </c>
      <c r="R7" s="48" t="s">
        <v>242</v>
      </c>
      <c r="S7" s="81" t="s">
        <v>4</v>
      </c>
      <c r="T7" s="68" t="s">
        <v>62</v>
      </c>
      <c r="U7" s="81" t="s">
        <v>4</v>
      </c>
      <c r="V7" s="68" t="s">
        <v>15</v>
      </c>
      <c r="W7" s="81" t="s">
        <v>4</v>
      </c>
      <c r="X7" s="59"/>
    </row>
    <row r="8" spans="1:24" ht="12" customHeight="1" thickBot="1" x14ac:dyDescent="0.25">
      <c r="A8" s="59"/>
      <c r="B8" s="49" t="s">
        <v>31</v>
      </c>
      <c r="C8" s="48"/>
      <c r="D8" s="50" t="s">
        <v>17</v>
      </c>
      <c r="E8" s="81" t="s">
        <v>4</v>
      </c>
      <c r="F8" s="56" t="s">
        <v>236</v>
      </c>
      <c r="G8" s="130" t="s">
        <v>306</v>
      </c>
      <c r="H8" s="57" t="s">
        <v>39</v>
      </c>
      <c r="I8" s="81" t="s">
        <v>4</v>
      </c>
      <c r="J8" s="47" t="s">
        <v>40</v>
      </c>
      <c r="K8" s="82" t="s">
        <v>4</v>
      </c>
      <c r="L8" s="56" t="s">
        <v>41</v>
      </c>
      <c r="M8" s="82" t="s">
        <v>4</v>
      </c>
      <c r="N8" s="57" t="s">
        <v>243</v>
      </c>
      <c r="O8" s="81" t="s">
        <v>4</v>
      </c>
      <c r="P8" s="47" t="s">
        <v>244</v>
      </c>
      <c r="Q8" s="81" t="s">
        <v>4</v>
      </c>
      <c r="R8" s="48" t="s">
        <v>42</v>
      </c>
      <c r="S8" s="81" t="s">
        <v>4</v>
      </c>
      <c r="T8" s="69" t="s">
        <v>72</v>
      </c>
      <c r="U8" s="81" t="s">
        <v>4</v>
      </c>
      <c r="V8" s="68" t="s">
        <v>23</v>
      </c>
      <c r="W8" s="81" t="s">
        <v>4</v>
      </c>
      <c r="X8" s="59"/>
    </row>
    <row r="9" spans="1:24" ht="12" customHeight="1" thickBot="1" x14ac:dyDescent="0.25">
      <c r="A9" s="59"/>
      <c r="B9" s="50" t="s">
        <v>221</v>
      </c>
      <c r="C9" s="48"/>
      <c r="D9" s="77" t="s">
        <v>25</v>
      </c>
      <c r="E9" s="48" t="str">
        <f>IF(OR(E10="I",E11="I"),"I",IF(OR(E10="C",E11="C"),"C","N"))</f>
        <v>N</v>
      </c>
      <c r="F9" s="55" t="s">
        <v>271</v>
      </c>
      <c r="G9" s="130" t="s">
        <v>306</v>
      </c>
      <c r="H9" s="53" t="s">
        <v>240</v>
      </c>
      <c r="I9" s="83" t="s">
        <v>4</v>
      </c>
      <c r="J9" s="66"/>
      <c r="K9" s="67" t="s">
        <v>4</v>
      </c>
      <c r="L9" s="67"/>
      <c r="M9" s="61"/>
      <c r="N9" s="53" t="s">
        <v>245</v>
      </c>
      <c r="O9" s="81" t="s">
        <v>4</v>
      </c>
      <c r="P9" s="54" t="s">
        <v>246</v>
      </c>
      <c r="Q9" s="81" t="s">
        <v>4</v>
      </c>
      <c r="R9" s="60"/>
      <c r="S9" s="65"/>
      <c r="T9" s="77" t="s">
        <v>65</v>
      </c>
      <c r="U9" s="48" t="str">
        <f>U10</f>
        <v>N</v>
      </c>
      <c r="V9" s="68" t="s">
        <v>270</v>
      </c>
      <c r="W9" s="81" t="s">
        <v>4</v>
      </c>
      <c r="X9" s="59"/>
    </row>
    <row r="10" spans="1:24" ht="12" customHeight="1" thickBot="1" x14ac:dyDescent="0.25">
      <c r="A10" s="59"/>
      <c r="B10" s="77" t="s">
        <v>43</v>
      </c>
      <c r="C10" s="81" t="s">
        <v>4</v>
      </c>
      <c r="D10" s="49" t="s">
        <v>27</v>
      </c>
      <c r="E10" s="81" t="s">
        <v>4</v>
      </c>
      <c r="F10" s="78" t="s">
        <v>47</v>
      </c>
      <c r="G10" s="48" t="str">
        <f>IF(OR(G11="I",G12="I"),"I",IF(OR(G11="C",G12="C"),"C","N"))</f>
        <v>N</v>
      </c>
      <c r="H10" s="77" t="s">
        <v>48</v>
      </c>
      <c r="I10" s="48" t="str">
        <f>IF(OR(I11="I",I12="I",I13="I",I14="I",K11="I",K12="I",K13="I",K14="I",M11="I",M12="I",M13="I",M14="I",O11="I",O12="I",O13="I",Q11="I",Q12="I",Q13="I",S11="I",S12="I",S13="I"),"I",IF(OR(I11="C",I12="C",I13="C",I14="C",K11="C",K12="C",K13="C",K14="C",M11="C",M12="C",M13="C",M14="C",O11="C",O12="C",O13="C",Q11="C",Q12="C",Q13="C",S11="C",S12="C",S13="C"),"C","N"))</f>
        <v>C</v>
      </c>
      <c r="J10" s="59"/>
      <c r="K10" s="59"/>
      <c r="L10" s="59"/>
      <c r="M10" s="59"/>
      <c r="N10" s="59"/>
      <c r="O10" s="59"/>
      <c r="P10" s="59"/>
      <c r="Q10" s="59"/>
      <c r="R10" s="59"/>
      <c r="S10" s="64"/>
      <c r="T10" s="69" t="s">
        <v>75</v>
      </c>
      <c r="U10" s="81" t="s">
        <v>4</v>
      </c>
      <c r="V10" s="69" t="s">
        <v>1</v>
      </c>
      <c r="W10" s="81" t="s">
        <v>4</v>
      </c>
      <c r="X10" s="59"/>
    </row>
    <row r="11" spans="1:24" ht="12" customHeight="1" thickBot="1" x14ac:dyDescent="0.25">
      <c r="A11" s="59"/>
      <c r="B11" s="49" t="s">
        <v>46</v>
      </c>
      <c r="C11" s="48"/>
      <c r="D11" s="50" t="s">
        <v>32</v>
      </c>
      <c r="E11" s="81" t="s">
        <v>4</v>
      </c>
      <c r="F11" s="56" t="s">
        <v>237</v>
      </c>
      <c r="G11" s="81" t="s">
        <v>4</v>
      </c>
      <c r="H11" s="57" t="s">
        <v>51</v>
      </c>
      <c r="I11" s="130" t="s">
        <v>306</v>
      </c>
      <c r="J11" s="51" t="s">
        <v>52</v>
      </c>
      <c r="K11" s="81" t="s">
        <v>4</v>
      </c>
      <c r="L11" s="51" t="s">
        <v>53</v>
      </c>
      <c r="M11" s="130" t="s">
        <v>306</v>
      </c>
      <c r="N11" s="51" t="s">
        <v>54</v>
      </c>
      <c r="O11" s="81" t="s">
        <v>4</v>
      </c>
      <c r="P11" s="51" t="s">
        <v>55</v>
      </c>
      <c r="Q11" s="81" t="s">
        <v>4</v>
      </c>
      <c r="R11" s="51" t="s">
        <v>56</v>
      </c>
      <c r="S11" s="81" t="s">
        <v>4</v>
      </c>
      <c r="T11" s="59"/>
      <c r="U11" s="59"/>
      <c r="V11" s="77" t="s">
        <v>45</v>
      </c>
      <c r="W11" s="48" t="str">
        <f>IF(OR(W12="I",W13="I",W14="I",W15="I",W16="I"),"I",IF(OR(W12="C",W13="C",W14="C",W15="C",W16="C"),"C","N"))</f>
        <v>N</v>
      </c>
      <c r="X11" s="59"/>
    </row>
    <row r="12" spans="1:24" ht="12" customHeight="1" thickBot="1" x14ac:dyDescent="0.25">
      <c r="A12" s="59"/>
      <c r="B12" s="49" t="s">
        <v>50</v>
      </c>
      <c r="C12" s="48"/>
      <c r="D12" s="77" t="s">
        <v>37</v>
      </c>
      <c r="E12" s="48" t="str">
        <f>E13</f>
        <v>N</v>
      </c>
      <c r="F12" s="55" t="s">
        <v>238</v>
      </c>
      <c r="G12" s="81" t="s">
        <v>4</v>
      </c>
      <c r="H12" s="57" t="s">
        <v>247</v>
      </c>
      <c r="I12" s="81" t="s">
        <v>4</v>
      </c>
      <c r="J12" s="47" t="s">
        <v>58</v>
      </c>
      <c r="K12" s="81" t="s">
        <v>4</v>
      </c>
      <c r="L12" s="47" t="s">
        <v>59</v>
      </c>
      <c r="M12" s="81" t="s">
        <v>4</v>
      </c>
      <c r="N12" s="47" t="s">
        <v>248</v>
      </c>
      <c r="O12" s="81" t="s">
        <v>4</v>
      </c>
      <c r="P12" s="47" t="s">
        <v>60</v>
      </c>
      <c r="Q12" s="130" t="s">
        <v>306</v>
      </c>
      <c r="R12" s="47" t="s">
        <v>61</v>
      </c>
      <c r="S12" s="81" t="s">
        <v>4</v>
      </c>
      <c r="T12" s="59"/>
      <c r="U12" s="59"/>
      <c r="V12" s="49" t="s">
        <v>79</v>
      </c>
      <c r="W12" s="81" t="s">
        <v>4</v>
      </c>
      <c r="X12" s="59"/>
    </row>
    <row r="13" spans="1:24" ht="12" customHeight="1" thickBot="1" x14ac:dyDescent="0.25">
      <c r="A13" s="59"/>
      <c r="B13" s="49" t="s">
        <v>222</v>
      </c>
      <c r="C13" s="48"/>
      <c r="D13" s="50" t="s">
        <v>38</v>
      </c>
      <c r="E13" s="81" t="s">
        <v>4</v>
      </c>
      <c r="F13" s="78" t="s">
        <v>65</v>
      </c>
      <c r="G13" s="48" t="str">
        <f>G14</f>
        <v>C</v>
      </c>
      <c r="H13" s="57" t="s">
        <v>66</v>
      </c>
      <c r="I13" s="130" t="s">
        <v>306</v>
      </c>
      <c r="J13" s="47" t="s">
        <v>67</v>
      </c>
      <c r="K13" s="81" t="s">
        <v>4</v>
      </c>
      <c r="L13" s="47" t="s">
        <v>68</v>
      </c>
      <c r="M13" s="81" t="s">
        <v>4</v>
      </c>
      <c r="N13" s="47" t="s">
        <v>69</v>
      </c>
      <c r="O13" s="81" t="s">
        <v>4</v>
      </c>
      <c r="P13" s="47" t="s">
        <v>70</v>
      </c>
      <c r="Q13" s="81" t="s">
        <v>4</v>
      </c>
      <c r="R13" s="47" t="s">
        <v>71</v>
      </c>
      <c r="S13" s="81" t="s">
        <v>4</v>
      </c>
      <c r="T13" s="59"/>
      <c r="U13" s="59"/>
      <c r="V13" s="49" t="s">
        <v>268</v>
      </c>
      <c r="W13" s="81" t="s">
        <v>4</v>
      </c>
      <c r="X13" s="59"/>
    </row>
    <row r="14" spans="1:24" ht="12" customHeight="1" thickBot="1" x14ac:dyDescent="0.25">
      <c r="A14" s="59"/>
      <c r="B14" s="49" t="s">
        <v>223</v>
      </c>
      <c r="C14" s="48"/>
      <c r="D14" s="77" t="s">
        <v>44</v>
      </c>
      <c r="E14" s="48" t="str">
        <f>IF(OR(E15="I",E16="I",E17="I",E18="I",E19="I",E20="I"),"I",IF(OR(E15="C",E16="C",E17="C",E18="C",E19="C",E20="C"),"C","N"))</f>
        <v>I</v>
      </c>
      <c r="F14" s="55" t="s">
        <v>75</v>
      </c>
      <c r="G14" s="130" t="s">
        <v>306</v>
      </c>
      <c r="H14" s="53" t="s">
        <v>249</v>
      </c>
      <c r="I14" s="81" t="s">
        <v>4</v>
      </c>
      <c r="J14" s="54" t="s">
        <v>250</v>
      </c>
      <c r="K14" s="81" t="s">
        <v>4</v>
      </c>
      <c r="L14" s="54" t="s">
        <v>76</v>
      </c>
      <c r="M14" s="81" t="s">
        <v>4</v>
      </c>
      <c r="N14" s="60"/>
      <c r="O14" s="60"/>
      <c r="P14" s="60"/>
      <c r="Q14" s="60"/>
      <c r="R14" s="60"/>
      <c r="S14" s="65"/>
      <c r="T14" s="59"/>
      <c r="U14" s="59"/>
      <c r="V14" s="49" t="s">
        <v>63</v>
      </c>
      <c r="W14" s="81" t="s">
        <v>4</v>
      </c>
      <c r="X14" s="59"/>
    </row>
    <row r="15" spans="1:24" ht="12" customHeight="1" thickBot="1" x14ac:dyDescent="0.25">
      <c r="A15" s="59"/>
      <c r="B15" s="49" t="s">
        <v>224</v>
      </c>
      <c r="C15" s="48"/>
      <c r="D15" s="49" t="s">
        <v>218</v>
      </c>
      <c r="E15" s="81" t="s">
        <v>4</v>
      </c>
      <c r="F15" s="59"/>
      <c r="G15" s="59"/>
      <c r="H15" s="77" t="s">
        <v>79</v>
      </c>
      <c r="I15" s="48" t="str">
        <f>IF(OR(I16="I",K16="I",M16="I",O16="I",Q16="I"),"I",IF(OR(I16="C",K16="C",M16="C",O16="C",Q16="C"),"C","N"))</f>
        <v>N</v>
      </c>
      <c r="J15" s="59"/>
      <c r="K15" s="59"/>
      <c r="L15" s="59"/>
      <c r="M15" s="59"/>
      <c r="N15" s="59"/>
      <c r="O15" s="59"/>
      <c r="P15" s="59"/>
      <c r="Q15" s="59"/>
      <c r="R15" s="59"/>
      <c r="S15" s="64"/>
      <c r="T15" s="59"/>
      <c r="U15" s="59"/>
      <c r="V15" s="49" t="s">
        <v>73</v>
      </c>
      <c r="W15" s="81" t="s">
        <v>4</v>
      </c>
      <c r="X15" s="59"/>
    </row>
    <row r="16" spans="1:24" ht="12" customHeight="1" thickBot="1" x14ac:dyDescent="0.25">
      <c r="A16" s="59"/>
      <c r="B16" s="49" t="s">
        <v>225</v>
      </c>
      <c r="C16" s="48"/>
      <c r="D16" s="49" t="s">
        <v>219</v>
      </c>
      <c r="E16" s="81" t="s">
        <v>4</v>
      </c>
      <c r="F16" s="59"/>
      <c r="G16" s="59"/>
      <c r="H16" s="53" t="s">
        <v>83</v>
      </c>
      <c r="I16" s="81" t="s">
        <v>4</v>
      </c>
      <c r="J16" s="58" t="s">
        <v>251</v>
      </c>
      <c r="K16" s="81" t="s">
        <v>4</v>
      </c>
      <c r="L16" s="58" t="s">
        <v>84</v>
      </c>
      <c r="M16" s="81" t="s">
        <v>4</v>
      </c>
      <c r="N16" s="58" t="s">
        <v>252</v>
      </c>
      <c r="O16" s="81" t="s">
        <v>4</v>
      </c>
      <c r="P16" s="58" t="s">
        <v>253</v>
      </c>
      <c r="Q16" s="81" t="s">
        <v>4</v>
      </c>
      <c r="R16" s="59"/>
      <c r="S16" s="64"/>
      <c r="T16" s="59"/>
      <c r="U16" s="59"/>
      <c r="V16" s="50" t="s">
        <v>77</v>
      </c>
      <c r="W16" s="81" t="s">
        <v>4</v>
      </c>
      <c r="X16" s="59"/>
    </row>
    <row r="17" spans="1:34" ht="12" customHeight="1" thickBot="1" x14ac:dyDescent="0.25">
      <c r="A17" s="59"/>
      <c r="B17" s="50" t="s">
        <v>226</v>
      </c>
      <c r="C17" s="48"/>
      <c r="D17" s="49" t="s">
        <v>230</v>
      </c>
      <c r="E17" s="129" t="s">
        <v>211</v>
      </c>
      <c r="F17" s="59"/>
      <c r="G17" s="59"/>
      <c r="H17" s="77" t="s">
        <v>88</v>
      </c>
      <c r="I17" s="48" t="str">
        <f>IF(OR(I18="I",I19="I",K18="I",K19="I",M18="I",M19="I",O18="I",O19="I",Q18="I",Q19="I",S18="I",S19="I"),"I",IF(OR(I18="C",I19="C",K18="C",K19="C",M18="C",M19="C",O18="C",O19="C",Q18="C",Q19="C",S18="C",S19="C"),"C","N"))</f>
        <v>C</v>
      </c>
      <c r="J17" s="59"/>
      <c r="K17" s="59"/>
      <c r="L17" s="59"/>
      <c r="M17" s="59"/>
      <c r="N17" s="59"/>
      <c r="O17" s="59"/>
      <c r="P17" s="59"/>
      <c r="Q17" s="59"/>
      <c r="R17" s="59"/>
      <c r="S17" s="64"/>
      <c r="T17" s="59"/>
      <c r="U17" s="59"/>
      <c r="V17" s="77" t="s">
        <v>80</v>
      </c>
      <c r="W17" s="48" t="str">
        <f>IF(OR(W18="I",W19="I"),"I",IF(OR(W18="C",W19="C"),"C","N"))</f>
        <v>C</v>
      </c>
      <c r="X17" s="59"/>
    </row>
    <row r="18" spans="1:34" ht="12" customHeight="1" thickBot="1" x14ac:dyDescent="0.25">
      <c r="A18" s="59"/>
      <c r="B18" s="76" t="s">
        <v>227</v>
      </c>
      <c r="C18" s="81" t="s">
        <v>4</v>
      </c>
      <c r="D18" s="49" t="s">
        <v>64</v>
      </c>
      <c r="E18" s="81" t="s">
        <v>4</v>
      </c>
      <c r="F18" s="59"/>
      <c r="G18" s="59"/>
      <c r="H18" s="50" t="s">
        <v>92</v>
      </c>
      <c r="I18" s="130" t="s">
        <v>306</v>
      </c>
      <c r="J18" s="48" t="s">
        <v>93</v>
      </c>
      <c r="K18" s="81" t="s">
        <v>4</v>
      </c>
      <c r="L18" s="48" t="s">
        <v>94</v>
      </c>
      <c r="M18" s="81" t="s">
        <v>4</v>
      </c>
      <c r="N18" s="48" t="s">
        <v>95</v>
      </c>
      <c r="O18" s="130" t="s">
        <v>306</v>
      </c>
      <c r="P18" s="48" t="s">
        <v>254</v>
      </c>
      <c r="Q18" s="81" t="s">
        <v>4</v>
      </c>
      <c r="R18" s="48" t="s">
        <v>96</v>
      </c>
      <c r="S18" s="81" t="s">
        <v>4</v>
      </c>
      <c r="T18" s="59"/>
      <c r="U18" s="59"/>
      <c r="V18" s="49" t="s">
        <v>86</v>
      </c>
      <c r="W18" s="130" t="s">
        <v>306</v>
      </c>
      <c r="X18" s="59"/>
    </row>
    <row r="19" spans="1:34" ht="12" customHeight="1" thickBot="1" x14ac:dyDescent="0.25">
      <c r="A19" s="59"/>
      <c r="B19" s="59"/>
      <c r="C19" s="59"/>
      <c r="D19" s="49" t="s">
        <v>74</v>
      </c>
      <c r="E19" s="81" t="s">
        <v>4</v>
      </c>
      <c r="F19" s="59"/>
      <c r="G19" s="59"/>
      <c r="H19" s="48" t="s">
        <v>30</v>
      </c>
      <c r="I19" s="130" t="s">
        <v>306</v>
      </c>
      <c r="J19" s="48" t="s">
        <v>99</v>
      </c>
      <c r="K19" s="81" t="s">
        <v>4</v>
      </c>
      <c r="L19" s="48" t="s">
        <v>255</v>
      </c>
      <c r="M19" s="81" t="s">
        <v>4</v>
      </c>
      <c r="N19" s="48" t="s">
        <v>100</v>
      </c>
      <c r="O19" s="81" t="s">
        <v>4</v>
      </c>
      <c r="P19" s="48" t="s">
        <v>101</v>
      </c>
      <c r="Q19" s="81" t="s">
        <v>4</v>
      </c>
      <c r="R19" s="48" t="s">
        <v>24</v>
      </c>
      <c r="S19" s="130" t="s">
        <v>306</v>
      </c>
      <c r="T19" s="59"/>
      <c r="U19" s="59"/>
      <c r="V19" s="50" t="s">
        <v>90</v>
      </c>
      <c r="W19" s="81" t="s">
        <v>4</v>
      </c>
      <c r="X19" s="59"/>
    </row>
    <row r="20" spans="1:34" ht="12" customHeight="1" thickBot="1" x14ac:dyDescent="0.25">
      <c r="A20" s="59"/>
      <c r="B20" s="59"/>
      <c r="C20" s="59"/>
      <c r="D20" s="50" t="s">
        <v>78</v>
      </c>
      <c r="E20" s="81" t="s">
        <v>4</v>
      </c>
      <c r="F20" s="59"/>
      <c r="G20" s="59"/>
      <c r="H20" s="77" t="s">
        <v>102</v>
      </c>
      <c r="I20" s="48" t="str">
        <f>IF(OR(I21="I",K21="I",M21="I",O21="I",Q21="I",S21="I"),"I",IF(OR(I21="C",K21="C",M21="C",O21="C",Q21="C",S21="C"),"C","N"))</f>
        <v>N</v>
      </c>
      <c r="J20" s="59"/>
      <c r="K20" s="59"/>
      <c r="L20" s="59"/>
      <c r="M20" s="59"/>
      <c r="N20" s="59"/>
      <c r="O20" s="59"/>
      <c r="P20" s="59"/>
      <c r="Q20" s="59"/>
      <c r="R20" s="59"/>
      <c r="S20" s="64"/>
      <c r="T20" s="59"/>
      <c r="U20" s="59"/>
      <c r="V20" s="77" t="s">
        <v>97</v>
      </c>
      <c r="W20" s="48" t="str">
        <f>IF(OR(W21="I",W22="I",W23="I",W24="I",W25="I",W26="I"),"I",IF(OR(W21="C",W22="C",W23="C",W24="C",W25="C",W26="C"),"C","N"))</f>
        <v>N</v>
      </c>
      <c r="X20" s="59"/>
    </row>
    <row r="21" spans="1:34" ht="12" customHeight="1" thickBot="1" x14ac:dyDescent="0.25">
      <c r="A21" s="59"/>
      <c r="B21" s="59"/>
      <c r="C21" s="59"/>
      <c r="D21" s="77" t="s">
        <v>81</v>
      </c>
      <c r="E21" s="48" t="str">
        <f>IF(OR(E22="I",E23="I",E24="I",E25="I",E26="I"),"I",IF(OR(E22="C",E23="C",E24="C",E25="C",E26="C"),"C","N"))</f>
        <v>N</v>
      </c>
      <c r="F21" s="59"/>
      <c r="G21" s="59"/>
      <c r="H21" s="50" t="s">
        <v>104</v>
      </c>
      <c r="I21" s="81" t="s">
        <v>4</v>
      </c>
      <c r="J21" s="48" t="s">
        <v>105</v>
      </c>
      <c r="K21" s="81" t="s">
        <v>4</v>
      </c>
      <c r="L21" s="48" t="s">
        <v>256</v>
      </c>
      <c r="M21" s="81" t="s">
        <v>4</v>
      </c>
      <c r="N21" s="48" t="s">
        <v>257</v>
      </c>
      <c r="O21" s="81" t="s">
        <v>4</v>
      </c>
      <c r="P21" s="48" t="s">
        <v>258</v>
      </c>
      <c r="Q21" s="81" t="s">
        <v>4</v>
      </c>
      <c r="R21" s="48" t="s">
        <v>106</v>
      </c>
      <c r="S21" s="81" t="s">
        <v>4</v>
      </c>
      <c r="T21" s="59"/>
      <c r="U21" s="59"/>
      <c r="V21" s="49" t="s">
        <v>101</v>
      </c>
      <c r="W21" s="81" t="s">
        <v>4</v>
      </c>
      <c r="X21" s="59"/>
      <c r="AH21" s="47" t="s">
        <v>211</v>
      </c>
    </row>
    <row r="22" spans="1:34" ht="12" customHeight="1" thickBot="1" x14ac:dyDescent="0.25">
      <c r="A22" s="59"/>
      <c r="B22" s="59"/>
      <c r="C22" s="59"/>
      <c r="D22" s="49" t="s">
        <v>82</v>
      </c>
      <c r="E22" s="81" t="s">
        <v>4</v>
      </c>
      <c r="F22" s="59"/>
      <c r="G22" s="59"/>
      <c r="H22" s="77" t="s">
        <v>259</v>
      </c>
      <c r="I22" s="48" t="str">
        <f>IF(OR(I23="I",K23="I",M23="I",O23="I",Q23="I",S23="I"),"I",IF(OR(I23="C",K23="C",M23="C",O23="C",Q23="C",S23="C"),"C","N"))</f>
        <v>N</v>
      </c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49" t="s">
        <v>296</v>
      </c>
      <c r="W22" s="81" t="s">
        <v>4</v>
      </c>
      <c r="X22" s="59"/>
    </row>
    <row r="23" spans="1:34" ht="12" customHeight="1" thickBot="1" x14ac:dyDescent="0.25">
      <c r="A23" s="59"/>
      <c r="B23" s="59"/>
      <c r="C23" s="59"/>
      <c r="D23" s="49" t="s">
        <v>87</v>
      </c>
      <c r="E23" s="81" t="s">
        <v>4</v>
      </c>
      <c r="F23" s="59"/>
      <c r="G23" s="59"/>
      <c r="H23" s="50" t="s">
        <v>108</v>
      </c>
      <c r="I23" s="81" t="s">
        <v>4</v>
      </c>
      <c r="J23" s="48" t="s">
        <v>109</v>
      </c>
      <c r="K23" s="81" t="s">
        <v>4</v>
      </c>
      <c r="L23" s="48" t="s">
        <v>110</v>
      </c>
      <c r="M23" s="81" t="s">
        <v>4</v>
      </c>
      <c r="N23" s="48" t="s">
        <v>111</v>
      </c>
      <c r="O23" s="81" t="s">
        <v>4</v>
      </c>
      <c r="P23" s="48" t="s">
        <v>112</v>
      </c>
      <c r="Q23" s="81" t="s">
        <v>4</v>
      </c>
      <c r="R23" s="48" t="s">
        <v>260</v>
      </c>
      <c r="S23" s="81" t="s">
        <v>4</v>
      </c>
      <c r="T23" s="59"/>
      <c r="U23" s="59"/>
      <c r="V23" s="49" t="s">
        <v>103</v>
      </c>
      <c r="W23" s="81" t="s">
        <v>4</v>
      </c>
      <c r="X23" s="59"/>
    </row>
    <row r="24" spans="1:34" ht="12" customHeight="1" thickBot="1" x14ac:dyDescent="0.25">
      <c r="A24" s="59"/>
      <c r="B24" s="59"/>
      <c r="C24" s="59"/>
      <c r="D24" s="49" t="s">
        <v>91</v>
      </c>
      <c r="E24" s="81" t="s">
        <v>4</v>
      </c>
      <c r="F24" s="59"/>
      <c r="G24" s="59"/>
      <c r="H24" s="77" t="s">
        <v>295</v>
      </c>
      <c r="I24" s="48" t="str">
        <f>IF(OR(I25="I",K25="I",M25="I",O25="I",Q25="I",S25="I"),"I",IF(OR(I25="C",K25="C",M25="C",O25="C",Q25="C",S25="C"),"C","N"))</f>
        <v>N</v>
      </c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49" t="s">
        <v>107</v>
      </c>
      <c r="W24" s="81" t="s">
        <v>4</v>
      </c>
      <c r="X24" s="59"/>
    </row>
    <row r="25" spans="1:34" ht="12" customHeight="1" thickBot="1" x14ac:dyDescent="0.25">
      <c r="A25" s="59"/>
      <c r="B25" s="59"/>
      <c r="C25" s="59"/>
      <c r="D25" s="49" t="s">
        <v>98</v>
      </c>
      <c r="E25" s="81" t="s">
        <v>4</v>
      </c>
      <c r="F25" s="59"/>
      <c r="G25" s="59"/>
      <c r="H25" s="50" t="s">
        <v>89</v>
      </c>
      <c r="I25" s="81" t="s">
        <v>4</v>
      </c>
      <c r="J25" s="48" t="s">
        <v>261</v>
      </c>
      <c r="K25" s="81" t="s">
        <v>4</v>
      </c>
      <c r="L25" s="48" t="s">
        <v>262</v>
      </c>
      <c r="M25" s="81" t="s">
        <v>4</v>
      </c>
      <c r="N25" s="48" t="s">
        <v>113</v>
      </c>
      <c r="O25" s="81" t="s">
        <v>4</v>
      </c>
      <c r="P25" s="48" t="s">
        <v>263</v>
      </c>
      <c r="Q25" s="81" t="s">
        <v>4</v>
      </c>
      <c r="R25" s="48" t="s">
        <v>114</v>
      </c>
      <c r="S25" s="81" t="s">
        <v>4</v>
      </c>
      <c r="T25" s="59"/>
      <c r="U25" s="59"/>
      <c r="V25" s="49" t="s">
        <v>106</v>
      </c>
      <c r="W25" s="81" t="s">
        <v>4</v>
      </c>
      <c r="X25" s="59"/>
    </row>
    <row r="26" spans="1:34" ht="12" customHeight="1" thickBot="1" x14ac:dyDescent="0.25">
      <c r="A26" s="59"/>
      <c r="B26" s="59"/>
      <c r="C26" s="59"/>
      <c r="D26" s="50" t="s">
        <v>294</v>
      </c>
      <c r="E26" s="81" t="s">
        <v>4</v>
      </c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0" t="s">
        <v>85</v>
      </c>
      <c r="W26" s="81" t="s">
        <v>4</v>
      </c>
      <c r="X26" s="59"/>
    </row>
    <row r="27" spans="1:34" ht="12" customHeight="1" x14ac:dyDescent="0.2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R119"/>
  <sheetViews>
    <sheetView showGridLines="0" tabSelected="1" workbookViewId="0">
      <pane ySplit="8" topLeftCell="A9" activePane="bottomLeft" state="frozen"/>
      <selection pane="bottomLeft" activeCell="D10" sqref="D10"/>
    </sheetView>
  </sheetViews>
  <sheetFormatPr baseColWidth="10" defaultColWidth="40.140625" defaultRowHeight="15" x14ac:dyDescent="0.25"/>
  <cols>
    <col min="1" max="1" width="13.28515625" style="1" hidden="1" customWidth="1"/>
    <col min="2" max="2" width="9.140625" style="1" customWidth="1"/>
    <col min="3" max="3" width="7.42578125" style="1" customWidth="1"/>
    <col min="4" max="4" width="75.140625" style="2" customWidth="1"/>
    <col min="5" max="5" width="5" style="2" customWidth="1"/>
    <col min="6" max="6" width="5.5703125" style="8" customWidth="1"/>
    <col min="7" max="7" width="4.5703125" style="1" customWidth="1"/>
    <col min="8" max="8" width="5" style="1" customWidth="1"/>
    <col min="9" max="9" width="22.7109375" style="1" hidden="1" customWidth="1"/>
    <col min="10" max="10" width="20" style="1" hidden="1" customWidth="1"/>
    <col min="11" max="11" width="24" style="1" hidden="1" customWidth="1"/>
    <col min="12" max="14" width="24.5703125" style="1" hidden="1" customWidth="1"/>
    <col min="15" max="15" width="34.28515625" style="1" hidden="1" customWidth="1"/>
    <col min="16" max="18" width="40.140625" style="1" hidden="1" customWidth="1"/>
    <col min="19" max="16384" width="40.140625" style="1"/>
  </cols>
  <sheetData>
    <row r="2" spans="1:18" ht="25.5" customHeight="1" x14ac:dyDescent="0.45">
      <c r="B2" s="107" t="s">
        <v>189</v>
      </c>
      <c r="C2" s="108"/>
      <c r="D2" s="108"/>
      <c r="E2" s="108"/>
      <c r="F2" s="108"/>
      <c r="G2" s="108"/>
    </row>
    <row r="3" spans="1:18" ht="8.25" customHeight="1" thickBot="1" x14ac:dyDescent="0.3">
      <c r="D3" s="1"/>
      <c r="E3" s="1"/>
      <c r="F3" s="1"/>
    </row>
    <row r="4" spans="1:18" ht="15" customHeight="1" x14ac:dyDescent="0.25">
      <c r="B4" s="110" t="s">
        <v>274</v>
      </c>
      <c r="C4" s="111"/>
      <c r="D4" s="99" t="s">
        <v>307</v>
      </c>
      <c r="E4" s="1"/>
      <c r="F4" s="1"/>
    </row>
    <row r="5" spans="1:18" ht="15" customHeight="1" thickBot="1" x14ac:dyDescent="0.3">
      <c r="B5" s="112" t="s">
        <v>275</v>
      </c>
      <c r="C5" s="113"/>
      <c r="D5" s="100" t="s">
        <v>308</v>
      </c>
      <c r="E5" s="1"/>
      <c r="F5" s="1"/>
    </row>
    <row r="6" spans="1:18" ht="8.25" customHeight="1" x14ac:dyDescent="0.25">
      <c r="A6" s="109" t="s">
        <v>164</v>
      </c>
      <c r="D6" s="1"/>
      <c r="I6" s="106" t="s">
        <v>197</v>
      </c>
      <c r="J6" s="106" t="s">
        <v>198</v>
      </c>
      <c r="K6" s="106" t="s">
        <v>199</v>
      </c>
      <c r="L6" s="106" t="s">
        <v>202</v>
      </c>
      <c r="M6" s="106" t="s">
        <v>200</v>
      </c>
      <c r="N6" s="106" t="s">
        <v>201</v>
      </c>
      <c r="O6" s="105" t="s">
        <v>166</v>
      </c>
      <c r="P6" s="105" t="s">
        <v>167</v>
      </c>
      <c r="Q6" s="105" t="s">
        <v>203</v>
      </c>
      <c r="R6" s="105" t="s">
        <v>204</v>
      </c>
    </row>
    <row r="7" spans="1:18" x14ac:dyDescent="0.25">
      <c r="A7" s="109"/>
      <c r="C7" s="133"/>
      <c r="D7" s="9" t="s">
        <v>305</v>
      </c>
      <c r="I7" s="106"/>
      <c r="J7" s="106"/>
      <c r="K7" s="106"/>
      <c r="L7" s="106"/>
      <c r="M7" s="106"/>
      <c r="N7" s="106"/>
      <c r="O7" s="105"/>
      <c r="P7" s="105"/>
      <c r="Q7" s="105"/>
      <c r="R7" s="105"/>
    </row>
    <row r="8" spans="1:18" ht="15.75" thickBot="1" x14ac:dyDescent="0.3">
      <c r="A8" s="109"/>
      <c r="C8" s="86"/>
      <c r="I8" s="106"/>
      <c r="J8" s="106"/>
      <c r="K8" s="106"/>
      <c r="L8" s="106"/>
      <c r="M8" s="106"/>
      <c r="N8" s="106"/>
      <c r="O8" s="105"/>
      <c r="P8" s="105"/>
      <c r="Q8" s="105"/>
      <c r="R8" s="105"/>
    </row>
    <row r="9" spans="1:18" ht="15.75" thickBot="1" x14ac:dyDescent="0.3">
      <c r="C9" s="13"/>
      <c r="D9" s="14"/>
      <c r="E9" s="14"/>
      <c r="F9" s="15"/>
      <c r="G9" s="16"/>
    </row>
    <row r="10" spans="1:18" ht="15.75" thickBot="1" x14ac:dyDescent="0.3">
      <c r="A10" s="1" t="b">
        <v>1</v>
      </c>
      <c r="C10" s="19"/>
      <c r="D10" s="39" t="s">
        <v>273</v>
      </c>
      <c r="E10" s="80"/>
      <c r="F10" s="101" t="s">
        <v>119</v>
      </c>
      <c r="G10" s="18"/>
    </row>
    <row r="11" spans="1:18" ht="30.75" hidden="1" thickBot="1" x14ac:dyDescent="0.3">
      <c r="A11" s="1" t="b">
        <f>AND(A10=TRUE, F10="SI")</f>
        <v>0</v>
      </c>
      <c r="C11" s="19"/>
      <c r="D11" s="132" t="s">
        <v>272</v>
      </c>
      <c r="E11" s="80"/>
      <c r="F11" s="101" t="s">
        <v>116</v>
      </c>
      <c r="G11" s="18"/>
      <c r="I11" s="8" t="s">
        <v>119</v>
      </c>
    </row>
    <row r="12" spans="1:18" ht="15.75" hidden="1" thickBot="1" x14ac:dyDescent="0.3">
      <c r="A12" s="1" t="b">
        <f>AND(A10=TRUE, F10="SI")</f>
        <v>0</v>
      </c>
      <c r="C12" s="19"/>
      <c r="D12" s="132" t="s">
        <v>286</v>
      </c>
      <c r="E12" s="80"/>
      <c r="F12" s="101" t="s">
        <v>119</v>
      </c>
      <c r="G12" s="18"/>
      <c r="I12" s="8" t="s">
        <v>116</v>
      </c>
    </row>
    <row r="13" spans="1:18" ht="18.75" x14ac:dyDescent="0.3">
      <c r="A13" s="1" t="b">
        <v>1</v>
      </c>
      <c r="C13" s="17"/>
      <c r="D13" s="39" t="s">
        <v>115</v>
      </c>
      <c r="E13" s="5"/>
      <c r="F13" s="84" t="s">
        <v>116</v>
      </c>
      <c r="G13" s="18" t="s">
        <v>117</v>
      </c>
      <c r="I13" s="26" t="s">
        <v>117</v>
      </c>
      <c r="J13" s="28" t="str">
        <f>IF(Hoja2!$E$2="I","SI","NO")</f>
        <v>SI</v>
      </c>
      <c r="K13" s="28"/>
      <c r="L13" s="28"/>
      <c r="M13" s="28"/>
      <c r="N13" s="28"/>
      <c r="O13" s="1" t="s">
        <v>165</v>
      </c>
      <c r="P13" s="1" t="s">
        <v>168</v>
      </c>
    </row>
    <row r="14" spans="1:18" x14ac:dyDescent="0.25">
      <c r="A14" s="1" t="b">
        <f>AND($A$13=TRUE, $F$13="SI")</f>
        <v>1</v>
      </c>
      <c r="C14" s="17"/>
      <c r="D14" s="9" t="s">
        <v>118</v>
      </c>
      <c r="E14" s="4"/>
      <c r="F14" s="24" t="s">
        <v>119</v>
      </c>
      <c r="G14" s="18"/>
      <c r="I14" s="26" t="s">
        <v>119</v>
      </c>
      <c r="J14" s="25"/>
      <c r="K14" s="36"/>
      <c r="L14" s="25"/>
      <c r="M14" s="25"/>
      <c r="N14" s="25"/>
    </row>
    <row r="15" spans="1:18" x14ac:dyDescent="0.25">
      <c r="A15" s="1" t="b">
        <f>AND($A$13=TRUE, $F$13="SI")</f>
        <v>1</v>
      </c>
      <c r="C15" s="17"/>
      <c r="D15" s="9" t="s">
        <v>209</v>
      </c>
      <c r="E15" s="4"/>
      <c r="F15" s="24" t="s">
        <v>119</v>
      </c>
      <c r="G15" s="18"/>
      <c r="I15" s="26" t="s">
        <v>119</v>
      </c>
      <c r="J15" s="25"/>
      <c r="K15" s="25"/>
      <c r="L15" s="25"/>
      <c r="M15" s="25"/>
      <c r="N15" s="25"/>
    </row>
    <row r="16" spans="1:18" x14ac:dyDescent="0.25">
      <c r="A16" s="1" t="b">
        <f>AND($A$13=TRUE, $F$13="SI")</f>
        <v>1</v>
      </c>
      <c r="C16" s="17"/>
      <c r="D16" s="9" t="s">
        <v>120</v>
      </c>
      <c r="E16" s="4"/>
      <c r="F16" s="24" t="s">
        <v>119</v>
      </c>
      <c r="G16" s="18"/>
      <c r="J16" s="28" t="str">
        <f>IF(OR(Hoja2!E3="I", Hoja2!E9="I", Hoja2!E21="I"),"SI","NO")</f>
        <v>NO</v>
      </c>
      <c r="M16" s="25"/>
      <c r="N16" s="25"/>
      <c r="O16" s="1" t="s">
        <v>212</v>
      </c>
      <c r="P16" s="1" t="s">
        <v>213</v>
      </c>
    </row>
    <row r="17" spans="1:16" ht="30" hidden="1" x14ac:dyDescent="0.25">
      <c r="A17" s="1" t="b">
        <f xml:space="preserve"> AND($A$16=TRUE,$F$16="SI")</f>
        <v>0</v>
      </c>
      <c r="C17" s="17"/>
      <c r="D17" s="11" t="s">
        <v>121</v>
      </c>
      <c r="E17" s="6"/>
      <c r="F17" s="24" t="s">
        <v>117</v>
      </c>
      <c r="G17" s="18"/>
      <c r="I17" s="27" t="s">
        <v>119</v>
      </c>
      <c r="J17" s="25"/>
      <c r="K17" s="25"/>
      <c r="L17" s="25"/>
      <c r="M17" s="25"/>
      <c r="N17" s="25"/>
    </row>
    <row r="18" spans="1:16" hidden="1" x14ac:dyDescent="0.25">
      <c r="A18" s="1" t="b">
        <f xml:space="preserve"> AND($A$16=TRUE,$F$16="SI")</f>
        <v>0</v>
      </c>
      <c r="C18" s="17"/>
      <c r="D18" s="11" t="s">
        <v>122</v>
      </c>
      <c r="E18" s="6"/>
      <c r="F18" s="24" t="s">
        <v>117</v>
      </c>
      <c r="G18" s="18"/>
      <c r="I18" s="27" t="s">
        <v>116</v>
      </c>
      <c r="J18" s="25"/>
      <c r="K18" s="25"/>
      <c r="L18" s="25"/>
      <c r="M18" s="25"/>
      <c r="N18" s="25"/>
    </row>
    <row r="19" spans="1:16" x14ac:dyDescent="0.25">
      <c r="A19" s="1" t="b">
        <f>AND($A$13=TRUE, $F$13="SI")</f>
        <v>1</v>
      </c>
      <c r="C19" s="17"/>
      <c r="D19" s="9" t="s">
        <v>123</v>
      </c>
      <c r="E19" s="4"/>
      <c r="F19" s="24" t="s">
        <v>116</v>
      </c>
      <c r="G19" s="18"/>
      <c r="I19" s="26" t="s">
        <v>117</v>
      </c>
      <c r="J19" s="28" t="str">
        <f>IF(Hoja2!E14="I","SI","NO")</f>
        <v>SI</v>
      </c>
      <c r="K19" s="25"/>
      <c r="L19" s="25"/>
      <c r="M19" s="25"/>
      <c r="N19" s="25"/>
      <c r="O19" s="1" t="s">
        <v>303</v>
      </c>
      <c r="P19" s="1" t="s">
        <v>304</v>
      </c>
    </row>
    <row r="20" spans="1:16" x14ac:dyDescent="0.25">
      <c r="A20" s="1" t="b">
        <f xml:space="preserve"> AND($A$19= TRUE,F19="SI")</f>
        <v>1</v>
      </c>
      <c r="C20" s="17"/>
      <c r="D20" s="11" t="s">
        <v>124</v>
      </c>
      <c r="E20" s="6"/>
      <c r="F20" s="24" t="s">
        <v>116</v>
      </c>
      <c r="G20" s="18"/>
      <c r="I20" s="26" t="s">
        <v>116</v>
      </c>
      <c r="J20" s="25"/>
      <c r="K20" s="25"/>
      <c r="L20" s="25"/>
      <c r="M20" s="25"/>
      <c r="N20" s="25"/>
    </row>
    <row r="21" spans="1:16" x14ac:dyDescent="0.25">
      <c r="A21" s="1" t="b">
        <f>AND($A$13=TRUE, $F$13="SI")</f>
        <v>1</v>
      </c>
      <c r="C21" s="17"/>
      <c r="D21" s="9" t="s">
        <v>301</v>
      </c>
      <c r="E21" s="4"/>
      <c r="F21" s="24" t="s">
        <v>116</v>
      </c>
      <c r="G21" s="18"/>
      <c r="I21" s="26" t="s">
        <v>116</v>
      </c>
      <c r="J21" s="25"/>
      <c r="K21" s="25"/>
      <c r="L21" s="25"/>
      <c r="M21" s="25"/>
      <c r="N21" s="25"/>
    </row>
    <row r="22" spans="1:16" ht="18.75" x14ac:dyDescent="0.3">
      <c r="A22" s="1" t="b">
        <v>1</v>
      </c>
      <c r="C22" s="17"/>
      <c r="D22" s="39" t="s">
        <v>125</v>
      </c>
      <c r="E22" s="5"/>
      <c r="F22" s="24" t="s">
        <v>119</v>
      </c>
      <c r="G22" s="34"/>
      <c r="I22" s="26" t="s">
        <v>117</v>
      </c>
      <c r="J22" s="28" t="str">
        <f>IF(Hoja2!I2="I","SI","NO")</f>
        <v>NO</v>
      </c>
      <c r="K22" s="28"/>
      <c r="L22" s="28"/>
      <c r="M22" s="28"/>
      <c r="N22" s="28"/>
      <c r="O22" s="1" t="s">
        <v>169</v>
      </c>
      <c r="P22" s="1" t="s">
        <v>170</v>
      </c>
    </row>
    <row r="23" spans="1:16" ht="28.5" hidden="1" customHeight="1" x14ac:dyDescent="0.25">
      <c r="A23" s="1" t="b">
        <f>AND($A$22=TRUE, $F$22="SI")</f>
        <v>0</v>
      </c>
      <c r="C23" s="17"/>
      <c r="D23" s="9" t="s">
        <v>208</v>
      </c>
      <c r="E23" s="4"/>
      <c r="F23" s="24" t="s">
        <v>117</v>
      </c>
      <c r="G23" s="18"/>
      <c r="I23" s="26" t="s">
        <v>116</v>
      </c>
    </row>
    <row r="24" spans="1:16" ht="18.75" x14ac:dyDescent="0.3">
      <c r="A24" s="1" t="b">
        <v>1</v>
      </c>
      <c r="C24" s="17"/>
      <c r="D24" s="39" t="s">
        <v>193</v>
      </c>
      <c r="E24" s="5"/>
      <c r="F24" s="24" t="s">
        <v>119</v>
      </c>
      <c r="G24" s="18"/>
      <c r="I24" s="26" t="s">
        <v>117</v>
      </c>
      <c r="J24" s="28" t="str">
        <f>IF(Hoja2!G2="I","SI","NO")</f>
        <v>NO</v>
      </c>
      <c r="K24" s="28"/>
      <c r="L24" s="28"/>
      <c r="M24" s="28"/>
      <c r="N24" s="28"/>
      <c r="O24" s="1" t="s">
        <v>171</v>
      </c>
      <c r="P24" s="1" t="s">
        <v>172</v>
      </c>
    </row>
    <row r="25" spans="1:16" hidden="1" x14ac:dyDescent="0.25">
      <c r="A25" s="1" t="b">
        <f xml:space="preserve"> AND($A$24=TRUE, $F$24="SI")</f>
        <v>0</v>
      </c>
      <c r="C25" s="17"/>
      <c r="D25" s="9" t="s">
        <v>126</v>
      </c>
      <c r="E25" s="4"/>
      <c r="F25" s="24" t="s">
        <v>117</v>
      </c>
      <c r="G25" s="18"/>
      <c r="I25" s="26" t="s">
        <v>117</v>
      </c>
      <c r="J25" s="25"/>
      <c r="K25" s="25"/>
      <c r="L25" s="25"/>
      <c r="M25" s="25"/>
      <c r="N25" s="25"/>
    </row>
    <row r="26" spans="1:16" hidden="1" x14ac:dyDescent="0.25">
      <c r="A26" s="1" t="b">
        <f xml:space="preserve"> AND($A$25=TRUE,$F$25="SI")</f>
        <v>0</v>
      </c>
      <c r="C26" s="17"/>
      <c r="D26" s="11" t="s">
        <v>127</v>
      </c>
      <c r="E26" s="6"/>
      <c r="F26" s="24" t="s">
        <v>117</v>
      </c>
      <c r="G26" s="18"/>
      <c r="I26" s="26" t="s">
        <v>116</v>
      </c>
      <c r="J26" s="25"/>
      <c r="K26" s="25"/>
      <c r="L26" s="25"/>
      <c r="M26" s="25"/>
      <c r="N26" s="25"/>
    </row>
    <row r="27" spans="1:16" hidden="1" x14ac:dyDescent="0.25">
      <c r="A27" s="1" t="b">
        <f t="shared" ref="A27" si="0" xml:space="preserve"> AND($A$26=TRUE,$F$26="SI")</f>
        <v>0</v>
      </c>
      <c r="C27" s="17"/>
      <c r="D27" s="12" t="s">
        <v>128</v>
      </c>
      <c r="E27" s="7"/>
      <c r="F27" s="24" t="s">
        <v>117</v>
      </c>
      <c r="G27" s="18"/>
      <c r="I27" s="26" t="s">
        <v>116</v>
      </c>
      <c r="J27" s="25"/>
      <c r="K27" s="25"/>
      <c r="L27" s="25"/>
      <c r="M27" s="25"/>
      <c r="N27" s="25"/>
    </row>
    <row r="28" spans="1:16" hidden="1" x14ac:dyDescent="0.25">
      <c r="A28" s="1" t="b">
        <f xml:space="preserve"> AND($A$26=TRUE,$F$26="SI")</f>
        <v>0</v>
      </c>
      <c r="C28" s="17"/>
      <c r="D28" s="12" t="s">
        <v>173</v>
      </c>
      <c r="E28" s="7"/>
      <c r="F28" s="24" t="s">
        <v>117</v>
      </c>
      <c r="G28" s="18"/>
      <c r="I28" s="26"/>
      <c r="J28" s="25"/>
      <c r="K28" s="25"/>
      <c r="L28" s="25"/>
      <c r="M28" s="25"/>
      <c r="N28" s="25"/>
    </row>
    <row r="29" spans="1:16" s="41" customFormat="1" hidden="1" x14ac:dyDescent="0.25">
      <c r="A29" s="1" t="b">
        <f xml:space="preserve"> AND($A$28=TRUE,$F$28="SI")</f>
        <v>0</v>
      </c>
      <c r="C29" s="42"/>
      <c r="D29" s="29" t="s">
        <v>214</v>
      </c>
      <c r="E29" s="43"/>
      <c r="F29" s="44" t="s">
        <v>117</v>
      </c>
      <c r="G29" s="45"/>
      <c r="I29" s="26" t="s">
        <v>116</v>
      </c>
      <c r="J29" s="46"/>
      <c r="K29" s="46"/>
      <c r="L29" s="46"/>
      <c r="M29" s="46"/>
      <c r="N29" s="46"/>
    </row>
    <row r="30" spans="1:16" ht="13.5" hidden="1" customHeight="1" x14ac:dyDescent="0.25">
      <c r="A30" s="1" t="b">
        <f xml:space="preserve"> AND($A$28=TRUE,$F$28="SI")</f>
        <v>0</v>
      </c>
      <c r="C30" s="17"/>
      <c r="D30" s="29" t="s">
        <v>129</v>
      </c>
      <c r="E30" s="7"/>
      <c r="F30" s="24" t="s">
        <v>117</v>
      </c>
      <c r="G30" s="18"/>
      <c r="I30" s="26" t="s">
        <v>117</v>
      </c>
      <c r="J30" s="25"/>
      <c r="K30" s="25"/>
      <c r="L30" s="25"/>
      <c r="M30" s="25"/>
      <c r="N30" s="25"/>
    </row>
    <row r="31" spans="1:16" hidden="1" x14ac:dyDescent="0.25">
      <c r="A31" s="1" t="b">
        <f t="shared" ref="A31:A34" si="1" xml:space="preserve"> AND($A$28=TRUE,$F$28="SI")</f>
        <v>0</v>
      </c>
      <c r="C31" s="17"/>
      <c r="D31" s="29" t="s">
        <v>130</v>
      </c>
      <c r="E31" s="7"/>
      <c r="F31" s="24" t="s">
        <v>117</v>
      </c>
      <c r="G31" s="18"/>
      <c r="I31" s="26" t="s">
        <v>116</v>
      </c>
      <c r="J31" s="25"/>
      <c r="K31" s="25"/>
      <c r="L31" s="25"/>
      <c r="M31" s="25"/>
      <c r="N31" s="25"/>
    </row>
    <row r="32" spans="1:16" hidden="1" x14ac:dyDescent="0.25">
      <c r="A32" s="1" t="b">
        <f t="shared" si="1"/>
        <v>0</v>
      </c>
      <c r="C32" s="17"/>
      <c r="D32" s="29" t="s">
        <v>131</v>
      </c>
      <c r="E32" s="7"/>
      <c r="F32" s="24" t="s">
        <v>117</v>
      </c>
      <c r="G32" s="18"/>
      <c r="I32" s="26" t="s">
        <v>116</v>
      </c>
      <c r="J32" s="25"/>
      <c r="K32" s="25"/>
      <c r="L32" s="25"/>
      <c r="M32" s="25"/>
      <c r="N32" s="25"/>
    </row>
    <row r="33" spans="1:16" hidden="1" x14ac:dyDescent="0.25">
      <c r="A33" s="1" t="b">
        <f t="shared" si="1"/>
        <v>0</v>
      </c>
      <c r="C33" s="17"/>
      <c r="D33" s="29" t="s">
        <v>132</v>
      </c>
      <c r="E33" s="7"/>
      <c r="F33" s="24" t="s">
        <v>117</v>
      </c>
      <c r="G33" s="18"/>
      <c r="I33" s="26" t="s">
        <v>116</v>
      </c>
      <c r="J33" s="25"/>
      <c r="K33" s="25"/>
      <c r="L33" s="25"/>
      <c r="M33" s="25"/>
      <c r="N33" s="25"/>
    </row>
    <row r="34" spans="1:16" hidden="1" x14ac:dyDescent="0.25">
      <c r="A34" s="1" t="b">
        <f t="shared" si="1"/>
        <v>0</v>
      </c>
      <c r="C34" s="17"/>
      <c r="D34" s="29" t="s">
        <v>133</v>
      </c>
      <c r="E34" s="7"/>
      <c r="F34" s="24" t="s">
        <v>117</v>
      </c>
      <c r="G34" s="18"/>
      <c r="I34" s="26" t="s">
        <v>119</v>
      </c>
      <c r="J34" s="25"/>
      <c r="K34" s="25"/>
      <c r="L34" s="25"/>
      <c r="M34" s="25"/>
      <c r="N34" s="25"/>
    </row>
    <row r="35" spans="1:16" hidden="1" x14ac:dyDescent="0.25">
      <c r="A35" s="1" t="b">
        <f xml:space="preserve"> AND($A$24=TRUE, $F$24="SI")</f>
        <v>0</v>
      </c>
      <c r="C35" s="17"/>
      <c r="D35" s="9" t="s">
        <v>134</v>
      </c>
      <c r="E35" s="4"/>
      <c r="F35" s="24" t="s">
        <v>117</v>
      </c>
      <c r="G35" s="18"/>
      <c r="I35" s="26" t="s">
        <v>119</v>
      </c>
      <c r="J35" s="25"/>
      <c r="K35" s="25"/>
      <c r="L35" s="25"/>
      <c r="M35" s="25"/>
      <c r="N35" s="25"/>
    </row>
    <row r="36" spans="1:16" hidden="1" x14ac:dyDescent="0.25">
      <c r="A36" s="1" t="b">
        <f xml:space="preserve"> AND($A$24=TRUE, $F$24="SI")</f>
        <v>0</v>
      </c>
      <c r="C36" s="17"/>
      <c r="D36" s="9" t="s">
        <v>135</v>
      </c>
      <c r="E36" s="4"/>
      <c r="F36" s="24" t="s">
        <v>117</v>
      </c>
      <c r="G36" s="18"/>
      <c r="I36" s="26" t="s">
        <v>119</v>
      </c>
      <c r="J36" s="25"/>
      <c r="K36" s="25"/>
      <c r="L36" s="25"/>
      <c r="M36" s="25"/>
      <c r="N36" s="25"/>
    </row>
    <row r="37" spans="1:16" hidden="1" x14ac:dyDescent="0.25">
      <c r="A37" s="1" t="b">
        <f xml:space="preserve"> AND($A$24=TRUE, $F$24="SI")</f>
        <v>0</v>
      </c>
      <c r="C37" s="17"/>
      <c r="D37" s="9" t="s">
        <v>136</v>
      </c>
      <c r="E37" s="4"/>
      <c r="F37" s="24" t="s">
        <v>117</v>
      </c>
      <c r="G37" s="18"/>
      <c r="I37" s="26" t="s">
        <v>119</v>
      </c>
      <c r="J37" s="25"/>
      <c r="K37" s="25"/>
      <c r="L37" s="25"/>
      <c r="M37" s="25"/>
      <c r="N37" s="25"/>
    </row>
    <row r="38" spans="1:16" ht="18.75" x14ac:dyDescent="0.3">
      <c r="A38" s="1" t="b">
        <v>1</v>
      </c>
      <c r="C38" s="17"/>
      <c r="D38" s="39" t="s">
        <v>174</v>
      </c>
      <c r="E38" s="5"/>
      <c r="F38" s="24" t="s">
        <v>119</v>
      </c>
      <c r="G38" s="18"/>
      <c r="I38" s="26" t="s">
        <v>117</v>
      </c>
      <c r="J38" s="28" t="str">
        <f>IF(Hoja2!U2="I","SI","NO")</f>
        <v>NO</v>
      </c>
      <c r="K38" s="28"/>
      <c r="L38" s="28"/>
      <c r="M38" s="28"/>
      <c r="N38" s="28"/>
      <c r="O38" s="1" t="s">
        <v>190</v>
      </c>
      <c r="P38" s="1" t="s">
        <v>191</v>
      </c>
    </row>
    <row r="39" spans="1:16" hidden="1" x14ac:dyDescent="0.25">
      <c r="A39" s="1" t="b">
        <f xml:space="preserve"> AND($A$38=TRUE,$F$38="SI")</f>
        <v>0</v>
      </c>
      <c r="C39" s="17"/>
      <c r="D39" s="9" t="s">
        <v>137</v>
      </c>
      <c r="E39" s="4"/>
      <c r="F39" s="24" t="s">
        <v>117</v>
      </c>
      <c r="G39" s="18"/>
      <c r="I39" s="26" t="s">
        <v>116</v>
      </c>
      <c r="J39" s="25"/>
      <c r="K39" s="25"/>
      <c r="L39" s="25"/>
      <c r="M39" s="25"/>
      <c r="N39" s="25"/>
    </row>
    <row r="40" spans="1:16" x14ac:dyDescent="0.25">
      <c r="A40" s="1" t="b">
        <v>1</v>
      </c>
      <c r="C40" s="17"/>
      <c r="D40" s="39" t="s">
        <v>175</v>
      </c>
      <c r="E40" s="4"/>
      <c r="F40" s="24" t="s">
        <v>119</v>
      </c>
      <c r="G40" s="18"/>
      <c r="I40" s="26"/>
      <c r="J40" s="104" t="str">
        <f>IF(Hoja2!U3="I", "SI","NO")</f>
        <v>NO</v>
      </c>
      <c r="K40" s="28"/>
      <c r="L40" s="28"/>
      <c r="M40" s="28"/>
      <c r="N40" s="28"/>
      <c r="O40" s="1" t="s">
        <v>190</v>
      </c>
      <c r="P40" s="1" t="s">
        <v>191</v>
      </c>
    </row>
    <row r="41" spans="1:16" hidden="1" x14ac:dyDescent="0.25">
      <c r="A41" s="1" t="b">
        <f xml:space="preserve"> AND($A$40=TRUE,$F$40="SI")</f>
        <v>0</v>
      </c>
      <c r="C41" s="17"/>
      <c r="D41" s="9" t="s">
        <v>176</v>
      </c>
      <c r="E41" s="4"/>
      <c r="F41" s="24" t="s">
        <v>117</v>
      </c>
      <c r="G41" s="18"/>
      <c r="I41" s="26"/>
      <c r="J41" s="25"/>
      <c r="K41" s="25"/>
      <c r="L41" s="25"/>
      <c r="M41" s="25"/>
      <c r="N41" s="25"/>
    </row>
    <row r="42" spans="1:16" hidden="1" x14ac:dyDescent="0.25">
      <c r="A42" s="1" t="b">
        <f t="shared" ref="A42:A43" si="2" xml:space="preserve"> AND($A$40=TRUE,$F$40="SI")</f>
        <v>0</v>
      </c>
      <c r="C42" s="17"/>
      <c r="D42" s="9" t="s">
        <v>177</v>
      </c>
      <c r="E42" s="4"/>
      <c r="F42" s="24" t="s">
        <v>117</v>
      </c>
      <c r="G42" s="18"/>
      <c r="I42" s="26"/>
      <c r="J42" s="25"/>
      <c r="K42" s="25"/>
      <c r="L42" s="25"/>
      <c r="M42" s="25"/>
      <c r="N42" s="25"/>
    </row>
    <row r="43" spans="1:16" hidden="1" x14ac:dyDescent="0.25">
      <c r="A43" s="1" t="b">
        <f t="shared" si="2"/>
        <v>0</v>
      </c>
      <c r="C43" s="17"/>
      <c r="D43" s="9" t="s">
        <v>178</v>
      </c>
      <c r="E43" s="4"/>
      <c r="F43" s="24" t="s">
        <v>117</v>
      </c>
      <c r="G43" s="18"/>
      <c r="I43" s="26"/>
      <c r="J43" s="25"/>
      <c r="K43" s="25"/>
      <c r="L43" s="25"/>
      <c r="M43" s="25"/>
      <c r="N43" s="25"/>
    </row>
    <row r="44" spans="1:16" hidden="1" x14ac:dyDescent="0.25">
      <c r="A44" s="1" t="b">
        <f xml:space="preserve"> AND($A$43=TRUE,$F$43="SI")</f>
        <v>0</v>
      </c>
      <c r="C44" s="17"/>
      <c r="D44" s="11" t="s">
        <v>179</v>
      </c>
      <c r="E44" s="4"/>
      <c r="F44" s="24" t="s">
        <v>117</v>
      </c>
      <c r="G44" s="18"/>
      <c r="I44" s="26" t="s">
        <v>116</v>
      </c>
      <c r="J44" s="25"/>
      <c r="K44" s="25"/>
      <c r="L44" s="25"/>
      <c r="M44" s="25"/>
      <c r="N44" s="25"/>
    </row>
    <row r="45" spans="1:16" ht="30" hidden="1" x14ac:dyDescent="0.25">
      <c r="A45" s="1" t="b">
        <f xml:space="preserve"> AND($A$43=TRUE,$F$43="SI")</f>
        <v>0</v>
      </c>
      <c r="C45" s="17"/>
      <c r="D45" s="11" t="s">
        <v>287</v>
      </c>
      <c r="E45" s="4"/>
      <c r="F45" s="24" t="s">
        <v>117</v>
      </c>
      <c r="G45" s="18"/>
      <c r="I45" s="26" t="s">
        <v>116</v>
      </c>
      <c r="J45" s="25"/>
      <c r="K45" s="25"/>
      <c r="L45" s="25"/>
      <c r="M45" s="25"/>
      <c r="N45" s="25"/>
    </row>
    <row r="46" spans="1:16" hidden="1" x14ac:dyDescent="0.25">
      <c r="A46" s="1" t="b">
        <f xml:space="preserve"> AND($A$40=TRUE,$F$40="SI")</f>
        <v>0</v>
      </c>
      <c r="C46" s="17"/>
      <c r="D46" s="9" t="s">
        <v>180</v>
      </c>
      <c r="E46" s="4"/>
      <c r="F46" s="24" t="s">
        <v>117</v>
      </c>
      <c r="G46" s="18"/>
      <c r="I46" s="26"/>
      <c r="J46" s="25"/>
      <c r="K46" s="25"/>
      <c r="L46" s="25"/>
      <c r="M46" s="25"/>
      <c r="N46" s="25"/>
    </row>
    <row r="47" spans="1:16" hidden="1" x14ac:dyDescent="0.25">
      <c r="A47" s="1" t="b">
        <f xml:space="preserve"> AND($A$46=TRUE,$F$46="SI")</f>
        <v>0</v>
      </c>
      <c r="C47" s="17"/>
      <c r="D47" s="11" t="s">
        <v>138</v>
      </c>
      <c r="E47" s="4"/>
      <c r="F47" s="24" t="s">
        <v>117</v>
      </c>
      <c r="G47" s="18"/>
      <c r="I47" s="26" t="s">
        <v>116</v>
      </c>
      <c r="J47" s="25"/>
      <c r="K47" s="25"/>
      <c r="L47" s="25"/>
      <c r="M47" s="25"/>
      <c r="N47" s="25"/>
    </row>
    <row r="48" spans="1:16" ht="30" hidden="1" x14ac:dyDescent="0.25">
      <c r="A48" s="1" t="b">
        <f xml:space="preserve"> AND($A$46=TRUE,$F$46="SI")</f>
        <v>0</v>
      </c>
      <c r="C48" s="17"/>
      <c r="D48" s="35" t="s">
        <v>181</v>
      </c>
      <c r="E48" s="4"/>
      <c r="F48" s="24" t="s">
        <v>117</v>
      </c>
      <c r="G48" s="18"/>
      <c r="I48" s="26" t="s">
        <v>119</v>
      </c>
      <c r="J48" s="25"/>
      <c r="K48" s="25"/>
      <c r="L48" s="25"/>
      <c r="M48" s="25"/>
      <c r="N48" s="25"/>
    </row>
    <row r="49" spans="1:16" hidden="1" x14ac:dyDescent="0.25">
      <c r="A49" s="1" t="b">
        <f xml:space="preserve"> AND($A$40=TRUE,$F$40="SI")</f>
        <v>0</v>
      </c>
      <c r="C49" s="17"/>
      <c r="D49" s="9" t="s">
        <v>210</v>
      </c>
      <c r="E49" s="4"/>
      <c r="F49" s="24" t="s">
        <v>117</v>
      </c>
      <c r="G49" s="18"/>
      <c r="I49" s="26"/>
      <c r="J49" s="25"/>
      <c r="K49" s="25"/>
      <c r="L49" s="25"/>
      <c r="M49" s="25"/>
      <c r="N49" s="25"/>
    </row>
    <row r="50" spans="1:16" hidden="1" x14ac:dyDescent="0.25">
      <c r="A50" s="1" t="b">
        <f t="shared" ref="A50:A52" si="3" xml:space="preserve"> AND($A$40=TRUE,$F$40="SI")</f>
        <v>0</v>
      </c>
      <c r="C50" s="17"/>
      <c r="D50" s="11" t="s">
        <v>139</v>
      </c>
      <c r="E50" s="4"/>
      <c r="F50" s="24" t="s">
        <v>117</v>
      </c>
      <c r="G50" s="18"/>
      <c r="I50" s="26" t="s">
        <v>119</v>
      </c>
      <c r="J50" s="25"/>
      <c r="K50" s="25"/>
      <c r="L50" s="25"/>
      <c r="M50" s="25"/>
      <c r="N50" s="25"/>
    </row>
    <row r="51" spans="1:16" hidden="1" x14ac:dyDescent="0.25">
      <c r="A51" s="1" t="b">
        <f t="shared" si="3"/>
        <v>0</v>
      </c>
      <c r="C51" s="17"/>
      <c r="D51" s="11" t="s">
        <v>140</v>
      </c>
      <c r="E51" s="4"/>
      <c r="F51" s="24" t="s">
        <v>117</v>
      </c>
      <c r="G51" s="18"/>
      <c r="I51" s="26" t="s">
        <v>116</v>
      </c>
      <c r="J51" s="25"/>
      <c r="K51" s="25"/>
      <c r="L51" s="25"/>
      <c r="M51" s="25"/>
      <c r="N51" s="25"/>
    </row>
    <row r="52" spans="1:16" hidden="1" x14ac:dyDescent="0.25">
      <c r="A52" s="1" t="b">
        <f t="shared" si="3"/>
        <v>0</v>
      </c>
      <c r="C52" s="17"/>
      <c r="D52" s="9" t="s">
        <v>141</v>
      </c>
      <c r="E52" s="4"/>
      <c r="F52" s="24" t="s">
        <v>117</v>
      </c>
      <c r="G52" s="18"/>
      <c r="I52" s="26" t="s">
        <v>116</v>
      </c>
      <c r="J52" s="25"/>
      <c r="K52" s="25"/>
      <c r="L52" s="25"/>
      <c r="M52" s="25"/>
      <c r="N52" s="25"/>
    </row>
    <row r="53" spans="1:16" hidden="1" x14ac:dyDescent="0.25">
      <c r="A53" s="1" t="b">
        <f xml:space="preserve"> AND($A$52=TRUE,$F$52="SI")</f>
        <v>0</v>
      </c>
      <c r="C53" s="17"/>
      <c r="D53" s="11" t="s">
        <v>142</v>
      </c>
      <c r="E53" s="6"/>
      <c r="F53" s="24" t="s">
        <v>117</v>
      </c>
      <c r="G53" s="18"/>
      <c r="I53" s="26" t="s">
        <v>116</v>
      </c>
      <c r="J53" s="25"/>
      <c r="K53" s="25"/>
      <c r="L53" s="25"/>
      <c r="M53" s="25"/>
      <c r="N53" s="25"/>
    </row>
    <row r="54" spans="1:16" hidden="1" x14ac:dyDescent="0.25">
      <c r="A54" s="1" t="b">
        <f xml:space="preserve"> AND($A$52=TRUE,$F$52="SI")</f>
        <v>0</v>
      </c>
      <c r="C54" s="17"/>
      <c r="D54" s="11" t="s">
        <v>143</v>
      </c>
      <c r="E54" s="6"/>
      <c r="F54" s="24" t="s">
        <v>117</v>
      </c>
      <c r="G54" s="18"/>
      <c r="I54" s="26" t="s">
        <v>119</v>
      </c>
      <c r="J54" s="25"/>
      <c r="K54" s="25"/>
      <c r="L54" s="25"/>
      <c r="M54" s="25"/>
      <c r="N54" s="25"/>
    </row>
    <row r="55" spans="1:16" hidden="1" x14ac:dyDescent="0.25">
      <c r="A55" s="1" t="b">
        <f xml:space="preserve"> AND($A$52=TRUE,$F$52="SI")</f>
        <v>0</v>
      </c>
      <c r="C55" s="17"/>
      <c r="D55" s="11" t="s">
        <v>144</v>
      </c>
      <c r="E55" s="6"/>
      <c r="F55" s="24" t="s">
        <v>117</v>
      </c>
      <c r="G55" s="18"/>
      <c r="I55" s="26" t="s">
        <v>119</v>
      </c>
      <c r="J55" s="25"/>
      <c r="K55" s="25"/>
      <c r="L55" s="25"/>
      <c r="M55" s="25"/>
      <c r="N55" s="25"/>
    </row>
    <row r="56" spans="1:16" ht="18.75" x14ac:dyDescent="0.3">
      <c r="A56" s="1" t="b">
        <v>1</v>
      </c>
      <c r="C56" s="17"/>
      <c r="D56" s="39" t="s">
        <v>145</v>
      </c>
      <c r="E56" s="5"/>
      <c r="F56" s="24" t="s">
        <v>119</v>
      </c>
      <c r="G56" s="18"/>
      <c r="I56" s="26" t="s">
        <v>117</v>
      </c>
      <c r="J56" s="104" t="str">
        <f>IF(Hoja2!W2="I", "SI","NO")</f>
        <v>NO</v>
      </c>
      <c r="K56" s="102"/>
      <c r="L56" s="102"/>
      <c r="M56" s="102"/>
      <c r="N56" s="102"/>
      <c r="O56" s="1" t="s">
        <v>298</v>
      </c>
      <c r="P56" s="1" t="s">
        <v>297</v>
      </c>
    </row>
    <row r="57" spans="1:16" hidden="1" x14ac:dyDescent="0.25">
      <c r="A57" s="1" t="b">
        <f xml:space="preserve"> AND($A$56=TRUE,$F$56="SI")</f>
        <v>0</v>
      </c>
      <c r="C57" s="17"/>
      <c r="D57" s="9" t="s">
        <v>146</v>
      </c>
      <c r="E57" s="4"/>
      <c r="F57" s="24" t="s">
        <v>117</v>
      </c>
      <c r="G57" s="18"/>
      <c r="I57" s="26" t="s">
        <v>117</v>
      </c>
      <c r="J57" s="25"/>
      <c r="K57" s="25"/>
      <c r="L57" s="25"/>
      <c r="M57" s="25"/>
      <c r="N57" s="25"/>
    </row>
    <row r="58" spans="1:16" ht="30" hidden="1" x14ac:dyDescent="0.25">
      <c r="A58" s="1" t="b">
        <f xml:space="preserve"> AND($A$57=TRUE,$F$57="SI")</f>
        <v>0</v>
      </c>
      <c r="C58" s="17"/>
      <c r="D58" s="11" t="s">
        <v>147</v>
      </c>
      <c r="E58" s="6"/>
      <c r="F58" s="24" t="s">
        <v>117</v>
      </c>
      <c r="G58" s="18"/>
      <c r="I58" s="26" t="s">
        <v>116</v>
      </c>
      <c r="J58" s="25"/>
      <c r="K58" s="25"/>
      <c r="L58" s="25"/>
      <c r="M58" s="25"/>
      <c r="N58" s="25"/>
    </row>
    <row r="59" spans="1:16" hidden="1" x14ac:dyDescent="0.25">
      <c r="A59" s="1" t="b">
        <f xml:space="preserve"> AND($A$56=TRUE,$F$56="SI")</f>
        <v>0</v>
      </c>
      <c r="C59" s="17"/>
      <c r="D59" s="9" t="s">
        <v>288</v>
      </c>
      <c r="E59" s="4"/>
      <c r="F59" s="24" t="s">
        <v>117</v>
      </c>
      <c r="G59" s="18"/>
      <c r="I59" s="26" t="s">
        <v>116</v>
      </c>
      <c r="J59" s="25"/>
      <c r="K59" s="25"/>
      <c r="L59" s="25"/>
      <c r="M59" s="25"/>
      <c r="N59" s="25"/>
    </row>
    <row r="60" spans="1:16" hidden="1" x14ac:dyDescent="0.25">
      <c r="A60" s="1" t="b">
        <f xml:space="preserve"> AND($A$56=TRUE,$F$56="SI")</f>
        <v>0</v>
      </c>
      <c r="C60" s="17"/>
      <c r="D60" s="9" t="s">
        <v>148</v>
      </c>
      <c r="E60" s="4"/>
      <c r="F60" s="24" t="s">
        <v>117</v>
      </c>
      <c r="G60" s="18"/>
      <c r="I60" s="26" t="s">
        <v>117</v>
      </c>
      <c r="J60" s="25"/>
      <c r="K60" s="25"/>
      <c r="L60" s="25"/>
      <c r="M60" s="25"/>
      <c r="N60" s="25"/>
    </row>
    <row r="61" spans="1:16" ht="30" hidden="1" x14ac:dyDescent="0.25">
      <c r="A61" s="1" t="b">
        <f xml:space="preserve"> AND($A$60=TRUE,$F$60="SI")</f>
        <v>0</v>
      </c>
      <c r="C61" s="17"/>
      <c r="D61" s="11" t="s">
        <v>149</v>
      </c>
      <c r="E61" s="6"/>
      <c r="F61" s="24" t="s">
        <v>117</v>
      </c>
      <c r="G61" s="18"/>
      <c r="I61" s="26" t="s">
        <v>116</v>
      </c>
      <c r="J61" s="25"/>
      <c r="K61" s="25"/>
      <c r="L61" s="25"/>
      <c r="M61" s="25"/>
      <c r="N61" s="25"/>
    </row>
    <row r="62" spans="1:16" ht="18.75" x14ac:dyDescent="0.3">
      <c r="A62" s="1" t="b">
        <v>1</v>
      </c>
      <c r="C62" s="17"/>
      <c r="D62" s="39" t="s">
        <v>215</v>
      </c>
      <c r="E62" s="5"/>
      <c r="F62" s="24" t="s">
        <v>119</v>
      </c>
      <c r="G62" s="18"/>
      <c r="I62" s="26" t="s">
        <v>117</v>
      </c>
      <c r="J62" s="25"/>
      <c r="K62" s="25"/>
      <c r="L62" s="25"/>
      <c r="M62" s="25"/>
      <c r="N62" s="25"/>
    </row>
    <row r="63" spans="1:16" hidden="1" x14ac:dyDescent="0.25">
      <c r="A63" s="1" t="b">
        <f xml:space="preserve"> AND($A$62=TRUE,$F$62="SI")</f>
        <v>0</v>
      </c>
      <c r="C63" s="17"/>
      <c r="D63" s="9" t="s">
        <v>150</v>
      </c>
      <c r="E63" s="6"/>
      <c r="F63" s="24" t="s">
        <v>117</v>
      </c>
      <c r="G63" s="18"/>
      <c r="I63" s="26" t="s">
        <v>117</v>
      </c>
      <c r="J63" s="25"/>
      <c r="K63" s="25"/>
      <c r="L63" s="25"/>
      <c r="M63" s="25"/>
      <c r="N63" s="25"/>
    </row>
    <row r="64" spans="1:16" ht="16.5" hidden="1" customHeight="1" x14ac:dyDescent="0.25">
      <c r="A64" s="1" t="b">
        <f xml:space="preserve"> AND($A$63=TRUE,$F$63="SI")</f>
        <v>0</v>
      </c>
      <c r="C64" s="17"/>
      <c r="D64" s="35" t="s">
        <v>289</v>
      </c>
      <c r="E64" s="7"/>
      <c r="F64" s="24" t="s">
        <v>117</v>
      </c>
      <c r="G64" s="18"/>
      <c r="I64" s="26" t="s">
        <v>116</v>
      </c>
      <c r="J64" s="25"/>
      <c r="K64" s="25"/>
      <c r="L64" s="25"/>
      <c r="M64" s="25"/>
      <c r="N64" s="25"/>
    </row>
    <row r="65" spans="1:18" hidden="1" x14ac:dyDescent="0.25">
      <c r="A65" s="1" t="b">
        <f xml:space="preserve"> AND($A$62=TRUE,$F$62="SI")</f>
        <v>0</v>
      </c>
      <c r="C65" s="17"/>
      <c r="D65" s="9" t="s">
        <v>151</v>
      </c>
      <c r="E65" s="6"/>
      <c r="F65" s="24" t="s">
        <v>117</v>
      </c>
      <c r="G65" s="18"/>
      <c r="I65" s="26" t="s">
        <v>117</v>
      </c>
      <c r="J65" s="25"/>
      <c r="K65" s="25"/>
      <c r="L65" s="25"/>
      <c r="M65" s="25"/>
      <c r="N65" s="25"/>
    </row>
    <row r="66" spans="1:18" hidden="1" x14ac:dyDescent="0.25">
      <c r="A66" s="1" t="b">
        <f xml:space="preserve"> AND($A$65=TRUE,$F$65="SI")</f>
        <v>0</v>
      </c>
      <c r="C66" s="17"/>
      <c r="D66" s="11" t="s">
        <v>152</v>
      </c>
      <c r="E66" s="7"/>
      <c r="F66" s="24" t="s">
        <v>117</v>
      </c>
      <c r="G66" s="18"/>
      <c r="I66" s="26" t="s">
        <v>116</v>
      </c>
      <c r="J66" s="25"/>
      <c r="K66" s="25"/>
      <c r="L66" s="25"/>
      <c r="M66" s="25"/>
      <c r="N66" s="25"/>
    </row>
    <row r="67" spans="1:18" ht="29.25" hidden="1" customHeight="1" x14ac:dyDescent="0.25">
      <c r="A67" s="1" t="b">
        <f xml:space="preserve"> AND($A$65=TRUE,$F$65="SI")</f>
        <v>0</v>
      </c>
      <c r="C67" s="17"/>
      <c r="D67" s="11" t="s">
        <v>153</v>
      </c>
      <c r="E67" s="7"/>
      <c r="F67" s="24" t="s">
        <v>117</v>
      </c>
      <c r="G67" s="18"/>
      <c r="I67" s="26" t="s">
        <v>116</v>
      </c>
      <c r="J67" s="25"/>
      <c r="K67" s="25"/>
      <c r="L67" s="25"/>
      <c r="M67" s="25"/>
      <c r="N67" s="25"/>
    </row>
    <row r="68" spans="1:18" ht="18.75" customHeight="1" x14ac:dyDescent="0.25">
      <c r="A68" s="1" t="b">
        <v>1</v>
      </c>
      <c r="C68" s="17"/>
      <c r="D68" s="39" t="s">
        <v>182</v>
      </c>
      <c r="E68" s="7"/>
      <c r="F68" s="24" t="s">
        <v>119</v>
      </c>
      <c r="G68" s="18"/>
      <c r="I68" s="26" t="s">
        <v>117</v>
      </c>
      <c r="J68" s="25"/>
      <c r="K68" s="25"/>
      <c r="L68" s="25"/>
      <c r="M68" s="25"/>
      <c r="N68" s="25"/>
    </row>
    <row r="69" spans="1:18" ht="30" hidden="1" x14ac:dyDescent="0.25">
      <c r="A69" s="1" t="b">
        <f xml:space="preserve"> AND($A$68=TRUE,$F$68="SI")</f>
        <v>0</v>
      </c>
      <c r="C69" s="17"/>
      <c r="D69" s="9" t="s">
        <v>290</v>
      </c>
      <c r="E69" s="7"/>
      <c r="F69" s="24" t="s">
        <v>117</v>
      </c>
      <c r="G69" s="18"/>
      <c r="I69" s="26" t="s">
        <v>119</v>
      </c>
      <c r="J69" s="25"/>
      <c r="K69" s="25"/>
      <c r="L69" s="25"/>
      <c r="M69" s="25"/>
      <c r="N69" s="25"/>
    </row>
    <row r="70" spans="1:18" ht="29.25" hidden="1" customHeight="1" x14ac:dyDescent="0.25">
      <c r="A70" s="1" t="b">
        <f xml:space="preserve"> AND($A$68=TRUE,$F$68="SI")</f>
        <v>0</v>
      </c>
      <c r="C70" s="17"/>
      <c r="D70" s="9" t="s">
        <v>291</v>
      </c>
      <c r="E70" s="7"/>
      <c r="F70" s="24" t="s">
        <v>117</v>
      </c>
      <c r="G70" s="18"/>
      <c r="H70" s="19"/>
      <c r="I70" s="26" t="s">
        <v>116</v>
      </c>
      <c r="J70" s="25"/>
      <c r="K70" s="25"/>
      <c r="L70" s="25"/>
      <c r="M70" s="25"/>
      <c r="N70" s="25"/>
    </row>
    <row r="71" spans="1:18" ht="30" hidden="1" x14ac:dyDescent="0.25">
      <c r="A71" s="1" t="b">
        <f xml:space="preserve"> AND($A$68=TRUE,$F$68="SI")</f>
        <v>0</v>
      </c>
      <c r="C71" s="17"/>
      <c r="D71" s="9" t="s">
        <v>154</v>
      </c>
      <c r="E71" s="7"/>
      <c r="F71" s="24" t="s">
        <v>117</v>
      </c>
      <c r="G71" s="18"/>
      <c r="I71" s="26" t="s">
        <v>116</v>
      </c>
      <c r="J71" s="25"/>
      <c r="K71" s="25"/>
      <c r="L71" s="25"/>
      <c r="M71" s="25"/>
      <c r="N71" s="25"/>
    </row>
    <row r="72" spans="1:18" ht="45" hidden="1" x14ac:dyDescent="0.25">
      <c r="A72" s="1" t="b">
        <f xml:space="preserve"> AND($A$68=TRUE,$F$68="SI")</f>
        <v>0</v>
      </c>
      <c r="C72" s="17"/>
      <c r="D72" s="9" t="s">
        <v>183</v>
      </c>
      <c r="E72" s="7"/>
      <c r="F72" s="24" t="s">
        <v>117</v>
      </c>
      <c r="G72" s="18"/>
      <c r="I72" s="26" t="s">
        <v>116</v>
      </c>
      <c r="J72" s="25"/>
      <c r="K72" s="25"/>
      <c r="L72" s="25"/>
      <c r="M72" s="25"/>
      <c r="N72" s="25"/>
    </row>
    <row r="73" spans="1:18" hidden="1" x14ac:dyDescent="0.25">
      <c r="A73" s="1" t="b">
        <f xml:space="preserve"> AND($A$68=TRUE,$F$68="SI")</f>
        <v>0</v>
      </c>
      <c r="C73" s="17"/>
      <c r="D73" s="39" t="s">
        <v>194</v>
      </c>
      <c r="E73" s="7"/>
      <c r="F73" s="24" t="s">
        <v>119</v>
      </c>
      <c r="G73" s="18"/>
      <c r="I73" s="26"/>
      <c r="J73" s="103" t="str">
        <f>IF(Hoja2!I13="I","SI","NO")</f>
        <v>NO</v>
      </c>
      <c r="K73" s="25"/>
      <c r="L73" s="25"/>
      <c r="M73" s="25" t="b">
        <f>(Hoja2!G13="N")</f>
        <v>0</v>
      </c>
      <c r="N73" s="28"/>
      <c r="O73" s="1" t="s">
        <v>299</v>
      </c>
      <c r="P73" s="1" t="s">
        <v>300</v>
      </c>
      <c r="R73" s="1" t="s">
        <v>299</v>
      </c>
    </row>
    <row r="74" spans="1:18" hidden="1" x14ac:dyDescent="0.25">
      <c r="A74" s="1" t="b">
        <f xml:space="preserve"> AND($A$73=TRUE, $F$73="SI")</f>
        <v>0</v>
      </c>
      <c r="C74" s="17"/>
      <c r="D74" s="9" t="s">
        <v>155</v>
      </c>
      <c r="E74" s="7"/>
      <c r="F74" s="24" t="s">
        <v>117</v>
      </c>
      <c r="G74" s="18"/>
      <c r="I74" s="26" t="s">
        <v>116</v>
      </c>
      <c r="J74" s="25"/>
      <c r="K74" s="25"/>
      <c r="L74" s="25"/>
      <c r="M74" s="25"/>
      <c r="N74" s="25"/>
    </row>
    <row r="75" spans="1:18" ht="16.5" hidden="1" customHeight="1" x14ac:dyDescent="0.25">
      <c r="A75" s="1" t="b">
        <f xml:space="preserve"> AND($A$73=TRUE, $F$73="SI")</f>
        <v>0</v>
      </c>
      <c r="C75" s="17"/>
      <c r="D75" s="9" t="s">
        <v>156</v>
      </c>
      <c r="E75" s="7"/>
      <c r="F75" s="24" t="s">
        <v>117</v>
      </c>
      <c r="G75" s="18"/>
      <c r="I75" s="26" t="s">
        <v>116</v>
      </c>
      <c r="J75" s="25"/>
      <c r="K75" s="25"/>
      <c r="L75" s="25"/>
      <c r="M75" s="25"/>
      <c r="N75" s="25"/>
    </row>
    <row r="76" spans="1:18" x14ac:dyDescent="0.25">
      <c r="A76" s="1" t="b">
        <v>1</v>
      </c>
      <c r="C76" s="17"/>
      <c r="D76" s="39" t="s">
        <v>157</v>
      </c>
      <c r="E76" s="4"/>
      <c r="F76" s="24" t="s">
        <v>116</v>
      </c>
      <c r="G76" s="18"/>
      <c r="I76" s="26" t="s">
        <v>117</v>
      </c>
      <c r="J76" s="25"/>
      <c r="K76" s="25"/>
      <c r="L76" s="25"/>
      <c r="M76" s="25"/>
      <c r="N76" s="25"/>
    </row>
    <row r="77" spans="1:18" x14ac:dyDescent="0.25">
      <c r="A77" s="1" t="b">
        <f xml:space="preserve"> AND($A$76=TRUE, $F$76="SI")</f>
        <v>1</v>
      </c>
      <c r="C77" s="19"/>
      <c r="D77" s="4" t="s">
        <v>158</v>
      </c>
      <c r="E77" s="4"/>
      <c r="F77" s="24" t="s">
        <v>116</v>
      </c>
      <c r="G77" s="18"/>
      <c r="I77" s="26" t="s">
        <v>116</v>
      </c>
      <c r="J77" s="25"/>
      <c r="K77" s="25"/>
      <c r="L77" s="25"/>
      <c r="M77" s="25"/>
      <c r="N77" s="25"/>
    </row>
    <row r="78" spans="1:18" x14ac:dyDescent="0.25">
      <c r="A78" s="1" t="b">
        <f xml:space="preserve"> AND($A$76=TRUE, $F$76="SI")</f>
        <v>1</v>
      </c>
      <c r="C78" s="19"/>
      <c r="D78" s="4" t="s">
        <v>159</v>
      </c>
      <c r="E78" s="4"/>
      <c r="F78" s="24" t="s">
        <v>116</v>
      </c>
      <c r="G78" s="18"/>
      <c r="I78" s="26" t="s">
        <v>117</v>
      </c>
      <c r="J78" s="25"/>
      <c r="K78" s="25"/>
      <c r="L78" s="25"/>
      <c r="M78" s="25"/>
      <c r="N78" s="25"/>
    </row>
    <row r="79" spans="1:18" ht="31.5" customHeight="1" x14ac:dyDescent="0.25">
      <c r="A79" s="1" t="b">
        <f xml:space="preserve"> AND($A$78=TRUE,$F$78="SI")</f>
        <v>1</v>
      </c>
      <c r="C79" s="19"/>
      <c r="D79" s="11" t="s">
        <v>302</v>
      </c>
      <c r="E79" s="4"/>
      <c r="F79" s="24" t="s">
        <v>116</v>
      </c>
      <c r="G79" s="18"/>
      <c r="I79" s="26" t="s">
        <v>116</v>
      </c>
      <c r="J79" s="25"/>
      <c r="K79" s="25"/>
      <c r="L79" s="25"/>
      <c r="M79" s="25"/>
      <c r="N79" s="25"/>
    </row>
    <row r="80" spans="1:18" x14ac:dyDescent="0.25">
      <c r="A80" s="1" t="b">
        <f xml:space="preserve"> AND($A$76=TRUE, $A$77=TRUE)</f>
        <v>1</v>
      </c>
      <c r="C80" s="19"/>
      <c r="D80" s="4" t="s">
        <v>160</v>
      </c>
      <c r="E80" s="4"/>
      <c r="F80" s="24" t="s">
        <v>116</v>
      </c>
      <c r="G80" s="18"/>
      <c r="I80" s="26" t="s">
        <v>117</v>
      </c>
      <c r="J80" s="25"/>
      <c r="K80" s="25"/>
      <c r="L80" s="25"/>
      <c r="M80" s="25"/>
      <c r="N80" s="25"/>
    </row>
    <row r="81" spans="1:16" x14ac:dyDescent="0.25">
      <c r="A81" s="1" t="b">
        <f xml:space="preserve"> AND($A$80=TRUE, $F$80 = "SI")</f>
        <v>1</v>
      </c>
      <c r="C81" s="19"/>
      <c r="D81" s="6" t="s">
        <v>163</v>
      </c>
      <c r="E81" s="4"/>
      <c r="F81" s="24" t="s">
        <v>116</v>
      </c>
      <c r="G81" s="18"/>
      <c r="I81" s="26" t="s">
        <v>116</v>
      </c>
      <c r="J81" s="25"/>
      <c r="K81" s="25"/>
      <c r="L81" s="25"/>
      <c r="M81" s="25"/>
      <c r="N81" s="25"/>
    </row>
    <row r="82" spans="1:16" x14ac:dyDescent="0.25">
      <c r="A82" s="1" t="b">
        <f xml:space="preserve"> AND($A$76=TRUE, $A$77=TRUE)</f>
        <v>1</v>
      </c>
      <c r="C82" s="19"/>
      <c r="D82" s="4" t="s">
        <v>161</v>
      </c>
      <c r="E82" s="4"/>
      <c r="F82" s="24" t="s">
        <v>119</v>
      </c>
      <c r="G82" s="18"/>
      <c r="I82" s="26" t="s">
        <v>117</v>
      </c>
      <c r="J82" s="25"/>
      <c r="K82" s="25"/>
      <c r="L82" s="25"/>
      <c r="M82" s="25"/>
      <c r="N82" s="25"/>
    </row>
    <row r="83" spans="1:16" hidden="1" x14ac:dyDescent="0.25">
      <c r="A83" s="1" t="b">
        <f xml:space="preserve"> AND($A$82=TRUE,$F$82="SI")</f>
        <v>0</v>
      </c>
      <c r="C83" s="19"/>
      <c r="D83" s="6" t="s">
        <v>163</v>
      </c>
      <c r="E83" s="4"/>
      <c r="F83" s="24" t="s">
        <v>117</v>
      </c>
      <c r="G83" s="18"/>
      <c r="I83" s="26" t="s">
        <v>116</v>
      </c>
      <c r="J83" s="25"/>
      <c r="K83" s="25"/>
      <c r="L83" s="25"/>
      <c r="M83" s="25"/>
      <c r="N83" s="25"/>
    </row>
    <row r="84" spans="1:16" x14ac:dyDescent="0.25">
      <c r="A84" s="1" t="b">
        <f xml:space="preserve"> AND($A$76=TRUE, $A$77=TRUE)</f>
        <v>1</v>
      </c>
      <c r="C84" s="19"/>
      <c r="D84" s="4" t="s">
        <v>162</v>
      </c>
      <c r="E84" s="4"/>
      <c r="F84" s="24" t="s">
        <v>119</v>
      </c>
      <c r="G84" s="18"/>
      <c r="I84" s="26" t="s">
        <v>117</v>
      </c>
      <c r="J84" s="25"/>
      <c r="K84" s="25"/>
      <c r="L84" s="25"/>
      <c r="M84" s="25"/>
      <c r="N84" s="25"/>
    </row>
    <row r="85" spans="1:16" hidden="1" x14ac:dyDescent="0.25">
      <c r="A85" s="1" t="b">
        <f xml:space="preserve"> AND($A$84=TRUE,$F$84="SI")</f>
        <v>0</v>
      </c>
      <c r="C85" s="19"/>
      <c r="D85" s="6" t="s">
        <v>163</v>
      </c>
      <c r="E85" s="4"/>
      <c r="F85" s="24" t="s">
        <v>117</v>
      </c>
      <c r="G85" s="18"/>
      <c r="I85" s="26" t="s">
        <v>116</v>
      </c>
      <c r="J85" s="25"/>
      <c r="K85" s="25"/>
      <c r="L85" s="25"/>
      <c r="M85" s="25"/>
      <c r="N85" s="25"/>
    </row>
    <row r="86" spans="1:16" x14ac:dyDescent="0.25">
      <c r="A86" s="1" t="b">
        <f xml:space="preserve"> AND($A$76=TRUE, $A$77=TRUE)</f>
        <v>1</v>
      </c>
      <c r="C86" s="19"/>
      <c r="D86" s="4" t="s">
        <v>192</v>
      </c>
      <c r="E86" s="4"/>
      <c r="F86" s="24" t="s">
        <v>119</v>
      </c>
      <c r="G86" s="18"/>
      <c r="I86" s="26"/>
      <c r="J86" s="25"/>
      <c r="K86" s="25"/>
      <c r="L86" s="25"/>
      <c r="M86" s="25"/>
      <c r="N86" s="25"/>
    </row>
    <row r="87" spans="1:16" hidden="1" x14ac:dyDescent="0.25">
      <c r="A87" s="1" t="b">
        <f xml:space="preserve"> AND($A$86=TRUE,$F$86="SI")</f>
        <v>0</v>
      </c>
      <c r="C87" s="19"/>
      <c r="D87" s="6" t="s">
        <v>163</v>
      </c>
      <c r="E87" s="4"/>
      <c r="F87" s="24" t="s">
        <v>117</v>
      </c>
      <c r="G87" s="18"/>
      <c r="I87" s="26" t="s">
        <v>116</v>
      </c>
      <c r="J87" s="25"/>
      <c r="K87" s="25"/>
      <c r="L87" s="25"/>
      <c r="M87" s="25"/>
      <c r="N87" s="25"/>
    </row>
    <row r="88" spans="1:16" ht="30" x14ac:dyDescent="0.25">
      <c r="A88" s="1" t="b">
        <v>1</v>
      </c>
      <c r="C88" s="19"/>
      <c r="D88" s="39" t="s">
        <v>184</v>
      </c>
      <c r="E88" s="4"/>
      <c r="F88" s="24" t="s">
        <v>119</v>
      </c>
      <c r="G88" s="18"/>
      <c r="I88" s="26"/>
      <c r="J88" s="28" t="str">
        <f>IF(Hoja2!U6="I","SI","NO")</f>
        <v>NO</v>
      </c>
      <c r="K88" s="28"/>
      <c r="L88" s="28"/>
      <c r="M88" s="28"/>
      <c r="N88" s="28"/>
      <c r="O88" s="1" t="s">
        <v>195</v>
      </c>
      <c r="P88" s="1" t="s">
        <v>196</v>
      </c>
    </row>
    <row r="89" spans="1:16" hidden="1" x14ac:dyDescent="0.25">
      <c r="A89" s="1" t="b">
        <f xml:space="preserve"> AND($A$88=TRUE,$F$88="SI")</f>
        <v>0</v>
      </c>
      <c r="C89" s="19"/>
      <c r="D89" s="4" t="s">
        <v>292</v>
      </c>
      <c r="E89" s="4"/>
      <c r="F89" s="24" t="s">
        <v>117</v>
      </c>
      <c r="G89" s="18"/>
      <c r="I89" s="26" t="s">
        <v>116</v>
      </c>
      <c r="J89" s="25"/>
      <c r="K89" s="25"/>
      <c r="L89" s="25"/>
      <c r="M89" s="25"/>
      <c r="N89" s="25"/>
    </row>
    <row r="90" spans="1:16" ht="30" hidden="1" x14ac:dyDescent="0.25">
      <c r="A90" s="1" t="b">
        <f t="shared" ref="A90:A91" si="4" xml:space="preserve"> AND($A$88=TRUE,$F$88="SI")</f>
        <v>0</v>
      </c>
      <c r="C90" s="19"/>
      <c r="D90" s="9" t="s">
        <v>293</v>
      </c>
      <c r="E90" s="4"/>
      <c r="F90" s="24" t="s">
        <v>117</v>
      </c>
      <c r="G90" s="18"/>
      <c r="I90" s="26" t="s">
        <v>116</v>
      </c>
      <c r="J90" s="25"/>
      <c r="K90" s="25"/>
      <c r="L90" s="25"/>
      <c r="M90" s="25"/>
      <c r="N90" s="25"/>
    </row>
    <row r="91" spans="1:16" ht="30" hidden="1" x14ac:dyDescent="0.25">
      <c r="A91" s="1" t="b">
        <f t="shared" si="4"/>
        <v>0</v>
      </c>
      <c r="C91" s="19"/>
      <c r="D91" s="9" t="s">
        <v>185</v>
      </c>
      <c r="E91" s="4"/>
      <c r="F91" s="24" t="s">
        <v>117</v>
      </c>
      <c r="G91" s="18"/>
      <c r="I91" s="26" t="s">
        <v>116</v>
      </c>
      <c r="J91" s="25"/>
      <c r="K91" s="25"/>
      <c r="L91" s="25"/>
      <c r="M91" s="25"/>
      <c r="N91" s="25"/>
    </row>
    <row r="92" spans="1:16" ht="18.75" x14ac:dyDescent="0.3">
      <c r="A92" s="1" t="b">
        <v>1</v>
      </c>
      <c r="C92" s="19"/>
      <c r="D92" s="39" t="s">
        <v>186</v>
      </c>
      <c r="E92" s="10"/>
      <c r="F92" s="24" t="s">
        <v>116</v>
      </c>
      <c r="G92" s="30"/>
      <c r="H92" s="10"/>
      <c r="I92" s="10"/>
      <c r="J92" s="10"/>
      <c r="K92" s="10"/>
      <c r="L92" s="10"/>
      <c r="M92" s="10"/>
      <c r="N92" s="10"/>
    </row>
    <row r="93" spans="1:16" ht="18.75" x14ac:dyDescent="0.3">
      <c r="A93" s="1" t="b">
        <f xml:space="preserve"> AND($A$92=TRUE,$F$92="SI")</f>
        <v>1</v>
      </c>
      <c r="C93" s="19"/>
      <c r="D93" s="9" t="s">
        <v>187</v>
      </c>
      <c r="E93" s="9"/>
      <c r="F93" s="24" t="s">
        <v>116</v>
      </c>
      <c r="G93" s="32"/>
      <c r="H93" s="9"/>
      <c r="I93" s="26" t="s">
        <v>116</v>
      </c>
      <c r="J93" s="10"/>
      <c r="K93" s="10"/>
      <c r="L93" s="10"/>
      <c r="M93" s="10"/>
      <c r="N93" s="10"/>
    </row>
    <row r="94" spans="1:16" ht="18.75" x14ac:dyDescent="0.3">
      <c r="A94" s="1" t="b">
        <f xml:space="preserve"> AND($A$93=TRUE,$F$93="SI")</f>
        <v>1</v>
      </c>
      <c r="C94" s="19"/>
      <c r="D94" s="11" t="s">
        <v>188</v>
      </c>
      <c r="E94" s="11"/>
      <c r="F94" s="24" t="s">
        <v>116</v>
      </c>
      <c r="G94" s="33"/>
      <c r="H94" s="11"/>
      <c r="I94" s="26" t="s">
        <v>116</v>
      </c>
      <c r="J94" s="10"/>
      <c r="K94" s="10"/>
      <c r="L94" s="10"/>
      <c r="M94" s="10"/>
      <c r="N94" s="10"/>
    </row>
    <row r="95" spans="1:16" ht="30.75" x14ac:dyDescent="0.3">
      <c r="A95" s="1" t="b">
        <v>1</v>
      </c>
      <c r="C95" s="19"/>
      <c r="D95" s="39" t="s">
        <v>205</v>
      </c>
      <c r="E95" s="11"/>
      <c r="F95" s="24" t="s">
        <v>119</v>
      </c>
      <c r="G95" s="38"/>
      <c r="H95" s="11"/>
      <c r="I95" s="26" t="s">
        <v>119</v>
      </c>
      <c r="J95" s="10"/>
      <c r="K95" s="10"/>
      <c r="L95" s="10"/>
      <c r="M95" s="10"/>
      <c r="N95" s="10"/>
    </row>
    <row r="96" spans="1:16" ht="30.75" x14ac:dyDescent="0.3">
      <c r="A96" s="1" t="b">
        <v>1</v>
      </c>
      <c r="C96" s="19"/>
      <c r="D96" s="39" t="s">
        <v>206</v>
      </c>
      <c r="E96" s="11"/>
      <c r="F96" s="24" t="s">
        <v>119</v>
      </c>
      <c r="G96" s="38"/>
      <c r="H96" s="11"/>
      <c r="I96" s="26" t="s">
        <v>119</v>
      </c>
      <c r="J96" s="10"/>
      <c r="K96" s="10"/>
      <c r="L96" s="10"/>
      <c r="M96" s="10"/>
      <c r="N96" s="10"/>
    </row>
    <row r="97" spans="1:14" ht="31.5" thickBot="1" x14ac:dyDescent="0.35">
      <c r="A97" s="1" t="b">
        <v>1</v>
      </c>
      <c r="C97" s="19"/>
      <c r="D97" s="39" t="s">
        <v>207</v>
      </c>
      <c r="E97" s="11"/>
      <c r="F97" s="40" t="s">
        <v>119</v>
      </c>
      <c r="G97" s="38"/>
      <c r="H97" s="11"/>
      <c r="I97" s="26" t="s">
        <v>119</v>
      </c>
      <c r="J97" s="10"/>
      <c r="K97" s="10"/>
      <c r="L97" s="10"/>
      <c r="M97" s="10"/>
      <c r="N97" s="10"/>
    </row>
    <row r="98" spans="1:14" ht="15.75" thickBot="1" x14ac:dyDescent="0.3">
      <c r="C98" s="20"/>
      <c r="D98" s="37"/>
      <c r="E98" s="21"/>
      <c r="F98" s="22"/>
      <c r="G98" s="23"/>
      <c r="H98" s="3"/>
      <c r="I98" s="3"/>
      <c r="J98" s="25"/>
      <c r="K98" s="25"/>
      <c r="L98" s="25"/>
      <c r="M98" s="25"/>
      <c r="N98" s="25"/>
    </row>
    <row r="99" spans="1:14" x14ac:dyDescent="0.25">
      <c r="D99" s="1"/>
      <c r="J99" s="25"/>
      <c r="K99" s="25"/>
      <c r="L99" s="25"/>
      <c r="M99" s="25"/>
      <c r="N99" s="25"/>
    </row>
    <row r="100" spans="1:14" x14ac:dyDescent="0.25">
      <c r="D100" s="1"/>
      <c r="J100" s="25"/>
      <c r="K100" s="25"/>
      <c r="L100" s="25"/>
      <c r="M100" s="25"/>
      <c r="N100" s="25"/>
    </row>
    <row r="101" spans="1:14" x14ac:dyDescent="0.25">
      <c r="J101" s="25"/>
      <c r="K101" s="25"/>
      <c r="L101" s="25"/>
      <c r="M101" s="25"/>
      <c r="N101" s="25"/>
    </row>
    <row r="102" spans="1:14" x14ac:dyDescent="0.25">
      <c r="J102" s="25"/>
      <c r="K102" s="25"/>
      <c r="L102" s="25"/>
      <c r="M102" s="25"/>
      <c r="N102" s="25"/>
    </row>
    <row r="103" spans="1:14" x14ac:dyDescent="0.25">
      <c r="J103" s="25"/>
      <c r="K103" s="25"/>
      <c r="L103" s="25"/>
      <c r="M103" s="25"/>
      <c r="N103" s="25"/>
    </row>
    <row r="104" spans="1:14" x14ac:dyDescent="0.25">
      <c r="J104" s="25"/>
      <c r="K104" s="25"/>
      <c r="L104" s="25"/>
      <c r="M104" s="25"/>
      <c r="N104" s="25"/>
    </row>
    <row r="105" spans="1:14" x14ac:dyDescent="0.25">
      <c r="J105" s="25"/>
      <c r="K105" s="25"/>
      <c r="L105" s="25"/>
      <c r="M105" s="25"/>
      <c r="N105" s="25"/>
    </row>
    <row r="106" spans="1:14" x14ac:dyDescent="0.25">
      <c r="J106" s="25"/>
      <c r="K106" s="25"/>
      <c r="L106" s="25"/>
      <c r="M106" s="25"/>
      <c r="N106" s="25"/>
    </row>
    <row r="107" spans="1:14" x14ac:dyDescent="0.25">
      <c r="J107" s="25"/>
      <c r="K107" s="25"/>
      <c r="L107" s="25"/>
      <c r="M107" s="25"/>
      <c r="N107" s="25"/>
    </row>
    <row r="108" spans="1:14" x14ac:dyDescent="0.25">
      <c r="J108" s="25"/>
      <c r="K108" s="25"/>
      <c r="L108" s="25"/>
      <c r="M108" s="25"/>
      <c r="N108" s="25"/>
    </row>
    <row r="109" spans="1:14" x14ac:dyDescent="0.25">
      <c r="J109" s="25"/>
      <c r="K109" s="25"/>
      <c r="L109" s="25"/>
      <c r="M109" s="25"/>
      <c r="N109" s="25"/>
    </row>
    <row r="110" spans="1:14" x14ac:dyDescent="0.25">
      <c r="J110" s="25"/>
      <c r="K110" s="25"/>
      <c r="L110" s="25"/>
      <c r="M110" s="25"/>
      <c r="N110" s="25"/>
    </row>
    <row r="111" spans="1:14" x14ac:dyDescent="0.25">
      <c r="D111" s="2" t="s">
        <v>117</v>
      </c>
      <c r="J111" s="25"/>
      <c r="K111" s="25"/>
      <c r="L111" s="25"/>
      <c r="M111" s="25"/>
      <c r="N111" s="25"/>
    </row>
    <row r="112" spans="1:14" x14ac:dyDescent="0.25">
      <c r="J112" s="25"/>
      <c r="K112" s="25"/>
      <c r="L112" s="25"/>
      <c r="M112" s="25"/>
      <c r="N112" s="25"/>
    </row>
    <row r="113" spans="4:14" x14ac:dyDescent="0.25">
      <c r="J113" s="25"/>
      <c r="K113" s="25"/>
      <c r="L113" s="25"/>
      <c r="M113" s="25"/>
      <c r="N113" s="25"/>
    </row>
    <row r="114" spans="4:14" x14ac:dyDescent="0.25">
      <c r="J114" s="25"/>
      <c r="K114" s="25"/>
      <c r="L114" s="25"/>
      <c r="M114" s="25"/>
      <c r="N114" s="25"/>
    </row>
    <row r="115" spans="4:14" x14ac:dyDescent="0.25">
      <c r="D115" s="2" t="s">
        <v>117</v>
      </c>
      <c r="J115" s="25"/>
      <c r="K115" s="25"/>
      <c r="L115" s="25"/>
      <c r="M115" s="25"/>
      <c r="N115" s="25"/>
    </row>
    <row r="116" spans="4:14" x14ac:dyDescent="0.25">
      <c r="J116" s="25"/>
      <c r="K116" s="25"/>
      <c r="L116" s="25"/>
      <c r="M116" s="25"/>
      <c r="N116" s="25"/>
    </row>
    <row r="117" spans="4:14" x14ac:dyDescent="0.25">
      <c r="J117" s="25"/>
      <c r="K117" s="25"/>
      <c r="L117" s="25"/>
      <c r="M117" s="25"/>
      <c r="N117" s="25"/>
    </row>
    <row r="118" spans="4:14" x14ac:dyDescent="0.25">
      <c r="J118" s="25"/>
      <c r="K118" s="25"/>
      <c r="L118" s="25"/>
      <c r="M118" s="25"/>
      <c r="N118" s="25"/>
    </row>
    <row r="119" spans="4:14" x14ac:dyDescent="0.25">
      <c r="J119" s="25"/>
      <c r="K119" s="25"/>
      <c r="L119" s="25"/>
      <c r="M119" s="25"/>
      <c r="N119" s="25"/>
    </row>
  </sheetData>
  <protectedRanges>
    <protectedRange sqref="F10:F97" name="Rango1_1"/>
  </protectedRanges>
  <mergeCells count="14">
    <mergeCell ref="B2:G2"/>
    <mergeCell ref="A6:A8"/>
    <mergeCell ref="I6:I8"/>
    <mergeCell ref="J6:J8"/>
    <mergeCell ref="K6:K8"/>
    <mergeCell ref="B4:C4"/>
    <mergeCell ref="B5:C5"/>
    <mergeCell ref="Q6:Q8"/>
    <mergeCell ref="R6:R8"/>
    <mergeCell ref="L6:L8"/>
    <mergeCell ref="M6:M8"/>
    <mergeCell ref="N6:N8"/>
    <mergeCell ref="O6:O8"/>
    <mergeCell ref="P6:P8"/>
  </mergeCells>
  <dataValidations count="3">
    <dataValidation type="list" allowBlank="1" showInputMessage="1" showErrorMessage="1" sqref="F14:F97">
      <formula1>"SI,NO"</formula1>
    </dataValidation>
    <dataValidation type="list" allowBlank="1" showInputMessage="1" showErrorMessage="1" sqref="F10:F13">
      <formula1>"SI, NO"</formula1>
    </dataValidation>
    <dataValidation type="list" allowBlank="1" showInputMessage="1" showErrorMessage="1" sqref="F9">
      <formula1>$G$13:$G$18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14"/>
  <sheetViews>
    <sheetView showGridLines="0" workbookViewId="0">
      <selection activeCell="F30" sqref="F30"/>
    </sheetView>
  </sheetViews>
  <sheetFormatPr baseColWidth="10" defaultRowHeight="15" x14ac:dyDescent="0.25"/>
  <cols>
    <col min="1" max="1" width="3.5703125" style="1" customWidth="1"/>
    <col min="2" max="2" width="13.140625" style="1" customWidth="1"/>
    <col min="3" max="4" width="11.42578125" style="1"/>
    <col min="5" max="5" width="16.28515625" style="1" customWidth="1"/>
    <col min="6" max="11" width="11.42578125" style="1"/>
    <col min="12" max="12" width="27.42578125" style="1" customWidth="1"/>
    <col min="13" max="16384" width="11.42578125" style="1"/>
  </cols>
  <sheetData>
    <row r="1" spans="1:16" ht="15.75" x14ac:dyDescent="0.25">
      <c r="A1" s="31"/>
      <c r="B1" s="116"/>
      <c r="C1" s="116"/>
      <c r="D1" s="116"/>
      <c r="E1" s="116"/>
      <c r="F1" s="116"/>
      <c r="G1" s="87"/>
      <c r="H1" s="87"/>
      <c r="I1" s="87"/>
    </row>
    <row r="2" spans="1:16" ht="15.75" x14ac:dyDescent="0.25">
      <c r="C2" s="88"/>
      <c r="D2" s="88"/>
      <c r="E2" s="117"/>
      <c r="F2" s="117"/>
      <c r="G2" s="117"/>
      <c r="H2" s="117"/>
      <c r="I2" s="117"/>
      <c r="J2" s="117"/>
      <c r="K2" s="117"/>
      <c r="L2" s="117"/>
      <c r="M2" s="88"/>
      <c r="N2" s="88"/>
      <c r="O2" s="88"/>
      <c r="P2" s="88"/>
    </row>
    <row r="3" spans="1:16" ht="15.75" x14ac:dyDescent="0.25">
      <c r="C3" s="89"/>
      <c r="D3" s="89"/>
      <c r="E3" s="118"/>
      <c r="F3" s="118"/>
      <c r="G3" s="118"/>
      <c r="H3" s="118"/>
      <c r="I3" s="118"/>
      <c r="J3" s="118"/>
      <c r="K3" s="118"/>
      <c r="L3" s="118"/>
      <c r="M3" s="89"/>
      <c r="N3" s="89"/>
      <c r="O3" s="89"/>
      <c r="P3" s="89"/>
    </row>
    <row r="4" spans="1:16" ht="18.75" thickBot="1" x14ac:dyDescent="0.3">
      <c r="B4" s="90"/>
      <c r="C4" s="90"/>
      <c r="D4" s="91"/>
      <c r="E4" s="92"/>
      <c r="F4" s="92"/>
    </row>
    <row r="5" spans="1:16" ht="16.5" thickBot="1" x14ac:dyDescent="0.3">
      <c r="B5" s="119" t="s">
        <v>276</v>
      </c>
      <c r="C5" s="120"/>
      <c r="D5" s="120"/>
      <c r="E5" s="120"/>
      <c r="F5" s="120"/>
      <c r="G5" s="120"/>
      <c r="H5" s="120"/>
      <c r="I5" s="120"/>
      <c r="J5" s="120"/>
      <c r="K5" s="120"/>
      <c r="L5" s="121"/>
    </row>
    <row r="6" spans="1:16" ht="15.75" thickBot="1" x14ac:dyDescent="0.3"/>
    <row r="7" spans="1:16" ht="25.5" x14ac:dyDescent="0.25">
      <c r="B7" s="93" t="s">
        <v>277</v>
      </c>
      <c r="C7" s="94" t="s">
        <v>278</v>
      </c>
      <c r="D7" s="94" t="s">
        <v>279</v>
      </c>
      <c r="E7" s="94" t="s">
        <v>280</v>
      </c>
      <c r="F7" s="122" t="s">
        <v>281</v>
      </c>
      <c r="G7" s="122"/>
      <c r="H7" s="122"/>
      <c r="I7" s="122"/>
      <c r="J7" s="122"/>
      <c r="K7" s="122"/>
      <c r="L7" s="123"/>
    </row>
    <row r="8" spans="1:16" x14ac:dyDescent="0.25">
      <c r="B8" s="95">
        <v>41029</v>
      </c>
      <c r="C8" s="96" t="s">
        <v>282</v>
      </c>
      <c r="D8" s="96" t="s">
        <v>283</v>
      </c>
      <c r="E8" s="96" t="s">
        <v>284</v>
      </c>
      <c r="F8" s="124" t="s">
        <v>285</v>
      </c>
      <c r="G8" s="125"/>
      <c r="H8" s="125"/>
      <c r="I8" s="125"/>
      <c r="J8" s="125"/>
      <c r="K8" s="125"/>
      <c r="L8" s="126"/>
    </row>
    <row r="9" spans="1:16" x14ac:dyDescent="0.25">
      <c r="B9" s="95"/>
      <c r="C9" s="96"/>
      <c r="D9" s="96"/>
      <c r="E9" s="96"/>
      <c r="F9" s="127"/>
      <c r="G9" s="127"/>
      <c r="H9" s="127"/>
      <c r="I9" s="127"/>
      <c r="J9" s="127"/>
      <c r="K9" s="127"/>
      <c r="L9" s="128"/>
    </row>
    <row r="10" spans="1:16" x14ac:dyDescent="0.25">
      <c r="B10" s="95"/>
      <c r="C10" s="96"/>
      <c r="D10" s="96"/>
      <c r="E10" s="96"/>
      <c r="F10" s="127"/>
      <c r="G10" s="127"/>
      <c r="H10" s="127"/>
      <c r="I10" s="127"/>
      <c r="J10" s="127"/>
      <c r="K10" s="127"/>
      <c r="L10" s="128"/>
    </row>
    <row r="11" spans="1:16" x14ac:dyDescent="0.25">
      <c r="B11" s="95"/>
      <c r="C11" s="96"/>
      <c r="D11" s="96"/>
      <c r="E11" s="96"/>
      <c r="F11" s="127"/>
      <c r="G11" s="127"/>
      <c r="H11" s="127"/>
      <c r="I11" s="127"/>
      <c r="J11" s="127"/>
      <c r="K11" s="127"/>
      <c r="L11" s="128"/>
    </row>
    <row r="12" spans="1:16" x14ac:dyDescent="0.25">
      <c r="B12" s="95"/>
      <c r="C12" s="96"/>
      <c r="D12" s="96"/>
      <c r="E12" s="96"/>
      <c r="F12" s="127"/>
      <c r="G12" s="127"/>
      <c r="H12" s="127"/>
      <c r="I12" s="127"/>
      <c r="J12" s="127"/>
      <c r="K12" s="127"/>
      <c r="L12" s="128"/>
    </row>
    <row r="13" spans="1:16" x14ac:dyDescent="0.25">
      <c r="B13" s="95"/>
      <c r="C13" s="96"/>
      <c r="D13" s="96"/>
      <c r="E13" s="96"/>
      <c r="F13" s="127"/>
      <c r="G13" s="127"/>
      <c r="H13" s="127"/>
      <c r="I13" s="127"/>
      <c r="J13" s="127"/>
      <c r="K13" s="127"/>
      <c r="L13" s="128"/>
    </row>
    <row r="14" spans="1:16" ht="15.75" thickBot="1" x14ac:dyDescent="0.3">
      <c r="B14" s="97"/>
      <c r="C14" s="98"/>
      <c r="D14" s="98"/>
      <c r="E14" s="98"/>
      <c r="F14" s="114"/>
      <c r="G14" s="114"/>
      <c r="H14" s="114"/>
      <c r="I14" s="114"/>
      <c r="J14" s="114"/>
      <c r="K14" s="114"/>
      <c r="L14" s="115"/>
    </row>
  </sheetData>
  <mergeCells count="12">
    <mergeCell ref="F14:L14"/>
    <mergeCell ref="B1:F1"/>
    <mergeCell ref="E2:L2"/>
    <mergeCell ref="E3:L3"/>
    <mergeCell ref="B5:L5"/>
    <mergeCell ref="F7:L7"/>
    <mergeCell ref="F8:L8"/>
    <mergeCell ref="F9:L9"/>
    <mergeCell ref="F10:L10"/>
    <mergeCell ref="F11:L11"/>
    <mergeCell ref="F12:L12"/>
    <mergeCell ref="F13:L1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igencia_CS xmlns="e3ab7482-cd55-43ea-8cf6-55357cc4410a">2014-05-01T04:00:00+00:00</Vigencia_CS>
    <Modificado_Interno xmlns="e3ab7482-cd55-43ea-8cf6-55357cc4410a">
      <UserInfo>
        <DisplayName>Oscar Rene Lopez Tapia</DisplayName>
        <AccountId>414</AccountId>
        <AccountType/>
      </UserInfo>
    </Modificado_Interno>
    <ComRAN xmlns="e3ab7482-cd55-43ea-8cf6-55357cc4410a" xsi:nil="true"/>
    <FechadeEmision_CS xmlns="e3ab7482-cd55-43ea-8cf6-55357cc4410a">2013-04-17T04:00:00+00:00</FechadeEmision_CS>
    <AreaResponsable_CS xmlns="e3ab7482-cd55-43ea-8cf6-55357cc4410a">153</AreaResponsable_CS>
    <Enviar_x0020_a_x0020_Revisión xmlns="e3ab7482-cd55-43ea-8cf6-55357cc4410a">false</Enviar_x0020_a_x0020_Revisión>
    <FechadeDerogacion_CS xmlns="e3ab7482-cd55-43ea-8cf6-55357cc4410a" xsi:nil="true"/>
    <SwitchRechazo xmlns="e3ab7482-cd55-43ea-8cf6-55357cc4410a">0</SwitchRechazo>
    <EstadoAprobacion_CS xmlns="e3ab7482-cd55-43ea-8cf6-55357cc4410a">Aprobado</EstadoAprobacion_CS>
    <Switch xmlns="e3ab7482-cd55-43ea-8cf6-55357cc4410a">0</Switch>
    <PersonasImpactadas_CS xmlns="e3ab7482-cd55-43ea-8cf6-55357cc4410a">
      <UserInfo>
        <DisplayName/>
        <AccountId xsi:nil="true"/>
        <AccountType/>
      </UserInfo>
    </PersonasImpactadas_CS>
    <GerentesdeAreaDivisionales xmlns="e3ab7482-cd55-43ea-8cf6-55357cc4410a">
      <UserInfo>
        <DisplayName/>
        <AccountId xsi:nil="true"/>
        <AccountType/>
      </UserInfo>
    </GerentesdeAreaDivisionales>
    <DireccionURL_CS xmlns="e3ab7482-cd55-43ea-8cf6-55357cc4410a">
      <Url>http://bchapp314/sitios/normativa/Instructivos/Formulario_Autoevaluacion_Arquitectonica.xlsm</Url>
      <Description>http://bchapp314/sitios/normativa/Instructivos/Formulario_Autoevaluacion_Arquitectonica.xlsm</Description>
    </DireccionURL_CS>
    <Descripcion_CS xmlns="e3ab7482-cd55-43ea-8cf6-55357cc4410a" xsi:nil="true"/>
    <ResponsableDocumento_CS xmlns="e3ab7482-cd55-43ea-8cf6-55357cc4410a">
      <UserInfo>
        <DisplayName>Hernan Rodrigo Galdames Castro</DisplayName>
        <AccountId>133</AccountId>
        <AccountType/>
      </UserInfo>
    </ResponsableDocumento_CS>
    <CorrelacionEjecucion_CS xmlns="e3ab7482-cd55-43ea-8cf6-55357cc4410a" xsi:nil="true"/>
    <ComRechazoAn_CS xmlns="e3ab7482-cd55-43ea-8cf6-55357cc4410a">Aprobado</ComRechazoAn_CS>
    <Tema_CS xmlns="e3ab7482-cd55-43ea-8cf6-55357cc4410a">41</Tema_CS>
    <Switch_Rechazo xmlns="e3ab7482-cd55-43ea-8cf6-55357cc4410a">0</Switch_Rechazo>
    <Responsable xmlns="e3ab7482-cd55-43ea-8cf6-55357cc4410a">
      <UserInfo>
        <DisplayName/>
        <AccountId xsi:nil="true"/>
        <AccountType/>
      </UserInfo>
    </Responsable>
    <EstadoDocumento_CS xmlns="e3ab7482-cd55-43ea-8cf6-55357cc4410a">Publicado</EstadoDocumento_CS>
    <_dlc_DocId xmlns="e3ab7482-cd55-43ea-8cf6-55357cc4410a">TUQPHRWUPM7P-13-336</_dlc_DocId>
    <_dlc_DocIdUrl xmlns="e3ab7482-cd55-43ea-8cf6-55357cc4410a">
      <Url>http://bchapp314/sitios/normativa/_layouts/DocIdRedir.aspx?ID=TUQPHRWUPM7P-13-336</Url>
      <Description>TUQPHRWUPM7P-13-336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Instructivos" ma:contentTypeID="0x01010098130E0FAEC1C64AA0E9DFD4BF85F0D1003B6AB28659963F43AC163AD35FA75BFE" ma:contentTypeVersion="66" ma:contentTypeDescription="" ma:contentTypeScope="" ma:versionID="5048737bb29e92246385b3bee5e807ee">
  <xsd:schema xmlns:xsd="http://www.w3.org/2001/XMLSchema" xmlns:xs="http://www.w3.org/2001/XMLSchema" xmlns:p="http://schemas.microsoft.com/office/2006/metadata/properties" xmlns:ns2="e3ab7482-cd55-43ea-8cf6-55357cc4410a" targetNamespace="http://schemas.microsoft.com/office/2006/metadata/properties" ma:root="true" ma:fieldsID="c5eed917caf1dd5bda49d12a4047dea2" ns2:_="">
    <xsd:import namespace="e3ab7482-cd55-43ea-8cf6-55357cc4410a"/>
    <xsd:element name="properties">
      <xsd:complexType>
        <xsd:sequence>
          <xsd:element name="documentManagement">
            <xsd:complexType>
              <xsd:all>
                <xsd:element ref="ns2:AreaResponsable_CS"/>
                <xsd:element ref="ns2:Responsable" minOccurs="0"/>
                <xsd:element ref="ns2:Tema_CS"/>
                <xsd:element ref="ns2:EstadoDocumento_CS"/>
                <xsd:element ref="ns2:Vigencia_CS"/>
                <xsd:element ref="ns2:Descripcion_CS" minOccurs="0"/>
                <xsd:element ref="ns2:PersonasImpactadas_CS" minOccurs="0"/>
                <xsd:element ref="ns2:GerentesdeAreaDivisionales" minOccurs="0"/>
                <xsd:element ref="ns2:FechadeEmision_CS" minOccurs="0"/>
                <xsd:element ref="ns2:FechadeDerogacion_CS" minOccurs="0"/>
                <xsd:element ref="ns2:CorrelacionEjecucion_CS" minOccurs="0"/>
                <xsd:element ref="ns2:Switch" minOccurs="0"/>
                <xsd:element ref="ns2:_dlc_DocId" minOccurs="0"/>
                <xsd:element ref="ns2:_dlc_DocIdUrl" minOccurs="0"/>
                <xsd:element ref="ns2:_dlc_DocIdPersistId" minOccurs="0"/>
                <xsd:element ref="ns2:DireccionURL_CS" minOccurs="0"/>
                <xsd:element ref="ns2:SwitchRechazo" minOccurs="0"/>
                <xsd:element ref="ns2:EstadoAprobacion_CS" minOccurs="0"/>
                <xsd:element ref="ns2:Switch_Rechazo" minOccurs="0"/>
                <xsd:element ref="ns2:Enviar_x0020_a_x0020_Revisión" minOccurs="0"/>
                <xsd:element ref="ns2:Modificado_Interno" minOccurs="0"/>
                <xsd:element ref="ns2:ResponsableDocumento_CS"/>
                <xsd:element ref="ns2:ComRechazoAn_CS" minOccurs="0"/>
                <xsd:element ref="ns2:ComRA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ab7482-cd55-43ea-8cf6-55357cc4410a" elementFormDefault="qualified">
    <xsd:import namespace="http://schemas.microsoft.com/office/2006/documentManagement/types"/>
    <xsd:import namespace="http://schemas.microsoft.com/office/infopath/2007/PartnerControls"/>
    <xsd:element name="AreaResponsable_CS" ma:index="1" ma:displayName="Área Responsable" ma:list="{ca70552c-1255-4614-ae50-96975c14964d}" ma:internalName="AreaResponsable_CS" ma:showField="Title" ma:web="e3ab7482-cd55-43ea-8cf6-55357cc4410a">
      <xsd:simpleType>
        <xsd:restriction base="dms:Lookup"/>
      </xsd:simpleType>
    </xsd:element>
    <xsd:element name="Responsable" ma:index="2" nillable="true" ma:displayName="Responsable_CS" ma:hidden="true" ma:list="UserInfo" ma:SharePointGroup="18" ma:internalName="Responsable0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Tema_CS" ma:index="3" ma:displayName="Tema" ma:list="{825bd2eb-8c20-4bc6-8a79-358706f2b31a}" ma:internalName="Tema_CS" ma:showField="Title" ma:web="e3ab7482-cd55-43ea-8cf6-55357cc4410a">
      <xsd:simpleType>
        <xsd:restriction base="dms:Lookup"/>
      </xsd:simpleType>
    </xsd:element>
    <xsd:element name="EstadoDocumento_CS" ma:index="4" ma:displayName="Estado de Documento" ma:default="Elaboración" ma:format="Dropdown" ma:hidden="true" ma:internalName="EstadoDocumento_CS" ma:readOnly="false">
      <xsd:simpleType>
        <xsd:restriction base="dms:Choice">
          <xsd:enumeration value="Elaboración"/>
          <xsd:enumeration value="Análisis"/>
          <xsd:enumeration value="Revisión Facilitadores"/>
          <xsd:enumeration value="Autorización"/>
          <xsd:enumeration value="Publicado"/>
          <xsd:enumeration value="Rechazado"/>
        </xsd:restriction>
      </xsd:simpleType>
    </xsd:element>
    <xsd:element name="Vigencia_CS" ma:index="5" ma:displayName="Vigencia" ma:format="DateOnly" ma:internalName="Vigencia_CS">
      <xsd:simpleType>
        <xsd:restriction base="dms:DateTime"/>
      </xsd:simpleType>
    </xsd:element>
    <xsd:element name="Descripcion_CS" ma:index="6" nillable="true" ma:displayName="Descripción" ma:internalName="Descripcion_CS">
      <xsd:simpleType>
        <xsd:restriction base="dms:Note">
          <xsd:maxLength value="255"/>
        </xsd:restriction>
      </xsd:simpleType>
    </xsd:element>
    <xsd:element name="PersonasImpactadas_CS" ma:index="7" nillable="true" ma:displayName="Personas Impactadas" ma:hidden="true" ma:list="UserInfo" ma:SharePointGroup="6" ma:internalName="PersonasImpactadas_CS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GerentesdeAreaDivisionales" ma:index="8" nillable="true" ma:displayName="Gerentes de Área Divisionales" ma:hidden="true" ma:list="UserInfo" ma:SharePointGroup="17" ma:internalName="GerentesdeAreaDivisionales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echadeEmision_CS" ma:index="9" nillable="true" ma:displayName="Fecha de Emisión" ma:default="[today]" ma:format="DateOnly" ma:internalName="FechadeEmision_CS">
      <xsd:simpleType>
        <xsd:restriction base="dms:DateTime"/>
      </xsd:simpleType>
    </xsd:element>
    <xsd:element name="FechadeDerogacion_CS" ma:index="10" nillable="true" ma:displayName="Fecha de Derogación" ma:format="DateOnly" ma:hidden="true" ma:internalName="FechadeDerogacion_CS">
      <xsd:simpleType>
        <xsd:restriction base="dms:DateTime"/>
      </xsd:simpleType>
    </xsd:element>
    <xsd:element name="CorrelacionEjecucion_CS" ma:index="12" nillable="true" ma:displayName="Correlación Ejecución" ma:hidden="true" ma:internalName="CorrelacionEjecucion_CS">
      <xsd:simpleType>
        <xsd:restriction base="dms:Text">
          <xsd:maxLength value="255"/>
        </xsd:restriction>
      </xsd:simpleType>
    </xsd:element>
    <xsd:element name="Switch" ma:index="13" nillable="true" ma:displayName="Switch" ma:decimals="0" ma:default="0" ma:hidden="true" ma:internalName="Switch" ma:percentage="FALSE">
      <xsd:simpleType>
        <xsd:restriction base="dms:Number"/>
      </xsd:simpleType>
    </xsd:element>
    <xsd:element name="_dlc_DocId" ma:index="18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19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DireccionURL_CS" ma:index="23" nillable="true" ma:displayName="DireccionURL_CS" ma:format="Hyperlink" ma:hidden="true" ma:internalName="DireccionURL_CS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SwitchRechazo" ma:index="24" nillable="true" ma:displayName="SwitchRechazo" ma:default="0" ma:hidden="true" ma:internalName="SwitchRechazo" ma:percentage="FALSE">
      <xsd:simpleType>
        <xsd:restriction base="dms:Number"/>
      </xsd:simpleType>
    </xsd:element>
    <xsd:element name="EstadoAprobacion_CS" ma:index="25" nillable="true" ma:displayName="EstadoAprobacion_CS" ma:format="Dropdown" ma:hidden="true" ma:internalName="EstadoAprobacion_CS">
      <xsd:simpleType>
        <xsd:restriction base="dms:Choice">
          <xsd:enumeration value="Aprobado"/>
          <xsd:enumeration value="Rechazado"/>
          <xsd:enumeration value="Enviar a Revisión Terceros"/>
        </xsd:restriction>
      </xsd:simpleType>
    </xsd:element>
    <xsd:element name="Switch_Rechazo" ma:index="26" nillable="true" ma:displayName="Switch_Rechazo" ma:default="0" ma:hidden="true" ma:internalName="Switch_Rechazo">
      <xsd:simpleType>
        <xsd:restriction base="dms:Number"/>
      </xsd:simpleType>
    </xsd:element>
    <xsd:element name="Enviar_x0020_a_x0020_Revisión" ma:index="27" nillable="true" ma:displayName="Enviar a Revisión" ma:default="0" ma:description="Utilice esta opcion para inciar el proceso de revisión y aprobación del documento." ma:internalName="Enviar_x0020_a_x0020_Revisi_x00f3_n">
      <xsd:simpleType>
        <xsd:restriction base="dms:Boolean"/>
      </xsd:simpleType>
    </xsd:element>
    <xsd:element name="Modificado_Interno" ma:index="28" nillable="true" ma:displayName="Modificado_Interno" ma:hidden="true" ma:list="UserInfo" ma:SharePointGroup="0" ma:internalName="Modificado_Interno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sponsableDocumento_CS" ma:index="29" ma:displayName="Responsable de Documento" ma:list="UserInfo" ma:SharePointGroup="6" ma:internalName="ResponsableDocumento_CS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ComRechazoAn_CS" ma:index="32" nillable="true" ma:displayName="ComRechazoAn_CS" ma:hidden="true" ma:internalName="ComRechazoAn_CS">
      <xsd:simpleType>
        <xsd:restriction base="dms:Note"/>
      </xsd:simpleType>
    </xsd:element>
    <xsd:element name="ComRAN" ma:index="37" nillable="true" ma:displayName="ComRAN" ma:hidden="true" ma:internalName="ComRA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Tipo de contenido"/>
        <xsd:element ref="dc:title" maxOccurs="1" ma:index="0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514DE5-77B2-4F69-944C-C4C98DC6BEFF}">
  <ds:schemaRefs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e3ab7482-cd55-43ea-8cf6-55357cc4410a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0929089-F074-4AA5-9FCA-B80EB4DD138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3E7B184-CB9B-4216-90C1-1466673AEDC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65AF3D82-8FAC-4A69-AAF6-4D239F3A77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3ab7482-cd55-43ea-8cf6-55357cc441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Mapa Impacto Aplicativo</vt:lpstr>
      <vt:lpstr>Formulario Autoevaluación Arq.</vt:lpstr>
    </vt:vector>
  </TitlesOfParts>
  <Company>Banco de Chile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Formulario Autoevaluacion Arquitectonica</dc:title>
  <dc:creator>hgaldames</dc:creator>
  <cp:lastModifiedBy>mriosr</cp:lastModifiedBy>
  <cp:lastPrinted>2012-04-19T12:51:15Z</cp:lastPrinted>
  <dcterms:created xsi:type="dcterms:W3CDTF">2012-03-19T20:31:18Z</dcterms:created>
  <dcterms:modified xsi:type="dcterms:W3CDTF">2013-10-22T17:56:57Z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0x01010098130E0FAEC1C64AA0E9DFD4BF85F0D1003B6AB28659963F43AC163AD35FA75BFE</vt:lpwstr>
  </property>
  <property fmtid="{D5CDD505-2E9C-101B-9397-08002B2CF9AE}" pid="3" name="_dlc_DocIdItemGuid">
    <vt:lpwstr>1e547feb-043c-4dad-b3fa-3d482a7e8c57</vt:lpwstr>
  </property>
  <property fmtid="{D5CDD505-2E9C-101B-9397-08002B2CF9AE}" pid="4" name="WorkflowCreationPath">
    <vt:lpwstr>c9b8e153-842a-4280-ba01-bc31aefbd160,4;c9b8e153-842a-4280-ba01-bc31aefbd160,8;c9b8e153-842a-4280-ba01-bc31aefbd160,12;</vt:lpwstr>
  </property>
</Properties>
</file>